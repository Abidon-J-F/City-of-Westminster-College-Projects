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ido\OneDrive\Documents\CWC\ICT\Year 1\Unit 42 - Spreadsheet Modelling\Estate Agent Spreadsheet\"/>
    </mc:Choice>
  </mc:AlternateContent>
  <xr:revisionPtr revIDLastSave="15" documentId="61950A50A1F23A853B93E5A398536D5971881443" xr6:coauthVersionLast="32" xr6:coauthVersionMax="32" xr10:uidLastSave="{33B58ADD-BAC5-4D75-8A17-8A2BD8B57F0E}"/>
  <bookViews>
    <workbookView xWindow="0" yWindow="0" windowWidth="11472" windowHeight="5664" activeTab="5" xr2:uid="{00000000-000D-0000-FFFF-FFFF00000000}"/>
  </bookViews>
  <sheets>
    <sheet name="Welcome Sheet" sheetId="10" r:id="rId1"/>
    <sheet name="Homes" sheetId="6" r:id="rId2"/>
    <sheet name="Staff" sheetId="3" r:id="rId3"/>
    <sheet name="Seller" sheetId="8" r:id="rId4"/>
    <sheet name="Buyers" sheetId="1" r:id="rId5"/>
    <sheet name="Sales" sheetId="5" r:id="rId6"/>
    <sheet name="Bar Chart" sheetId="15" r:id="rId7"/>
  </sheets>
  <definedNames>
    <definedName name="Address">Homes!$B$2:$B$21</definedName>
    <definedName name="Buyers">Buyers!$A$1:$D$35</definedName>
    <definedName name="BuyersInfo">Buyers!$A$2:$D$35</definedName>
    <definedName name="Homes">Homes!$A$1:$E$21</definedName>
    <definedName name="List">Staff!$A$1:$C$11</definedName>
    <definedName name="Property">Homes!$J$2:$J$21</definedName>
    <definedName name="Seller">Seller!$A$1:$F$21</definedName>
    <definedName name="SellerInfo">Seller!$A$1:$F$21</definedName>
    <definedName name="Staff">Staff!$A$1:$C$11</definedName>
    <definedName name="StaffInfo">Staff!$A$2:$C$11</definedName>
    <definedName name="Tryout">Staff!$B$2:$C$11</definedName>
  </definedNames>
  <calcPr calcId="179017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5" l="1"/>
  <c r="C2" i="5"/>
  <c r="B2" i="5"/>
  <c r="J2" i="6"/>
  <c r="B12" i="5" l="1"/>
  <c r="C12" i="5" l="1"/>
  <c r="C13" i="5"/>
  <c r="C14" i="5"/>
  <c r="C15" i="5"/>
  <c r="C16" i="5"/>
  <c r="E12" i="5"/>
  <c r="E13" i="5"/>
  <c r="E14" i="5"/>
  <c r="E15" i="5"/>
  <c r="E16" i="5"/>
  <c r="B13" i="5"/>
  <c r="B14" i="5"/>
  <c r="B15" i="5"/>
  <c r="B16" i="5"/>
  <c r="E3" i="5" l="1"/>
  <c r="E4" i="5" l="1"/>
  <c r="E5" i="5"/>
  <c r="E6" i="5"/>
  <c r="E7" i="5"/>
  <c r="E8" i="5"/>
  <c r="E9" i="5"/>
  <c r="E10" i="5"/>
  <c r="E11" i="5"/>
  <c r="C3" i="5"/>
  <c r="C4" i="5"/>
  <c r="C5" i="5"/>
  <c r="C6" i="5"/>
  <c r="C7" i="5"/>
  <c r="C8" i="5"/>
  <c r="C9" i="5"/>
  <c r="C10" i="5"/>
  <c r="C11" i="5"/>
  <c r="B3" i="5"/>
  <c r="B4" i="5"/>
  <c r="B5" i="5"/>
  <c r="B6" i="5"/>
  <c r="B7" i="5"/>
  <c r="B8" i="5"/>
  <c r="B9" i="5"/>
  <c r="B10" i="5"/>
  <c r="B11" i="5"/>
  <c r="E81" i="5" l="1"/>
  <c r="E82" i="5"/>
  <c r="E83" i="5"/>
  <c r="E84" i="5"/>
  <c r="E85" i="5"/>
  <c r="E86" i="5"/>
  <c r="E87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I4" i="6" l="1"/>
  <c r="I2" i="6"/>
  <c r="I3" i="6"/>
  <c r="J3" i="6" s="1"/>
  <c r="I7" i="6"/>
  <c r="J7" i="6" s="1"/>
  <c r="I11" i="6"/>
  <c r="J11" i="6" s="1"/>
  <c r="I15" i="6"/>
  <c r="J15" i="6" s="1"/>
  <c r="I19" i="6"/>
  <c r="J19" i="6" s="1"/>
  <c r="J4" i="6"/>
  <c r="I8" i="6"/>
  <c r="J8" i="6" s="1"/>
  <c r="I12" i="6"/>
  <c r="J12" i="6" s="1"/>
  <c r="I16" i="6"/>
  <c r="J16" i="6" s="1"/>
  <c r="I20" i="6"/>
  <c r="J20" i="6" s="1"/>
  <c r="I5" i="6"/>
  <c r="J5" i="6" s="1"/>
  <c r="I9" i="6"/>
  <c r="J9" i="6" s="1"/>
  <c r="I13" i="6"/>
  <c r="J13" i="6" s="1"/>
  <c r="I21" i="6"/>
  <c r="J21" i="6" s="1"/>
  <c r="I6" i="6"/>
  <c r="J6" i="6" s="1"/>
  <c r="I14" i="6"/>
  <c r="J14" i="6" s="1"/>
  <c r="I18" i="6"/>
  <c r="J18" i="6" s="1"/>
  <c r="I17" i="6"/>
  <c r="J17" i="6" s="1"/>
  <c r="I10" i="6"/>
  <c r="J10" i="6" s="1"/>
</calcChain>
</file>

<file path=xl/sharedStrings.xml><?xml version="1.0" encoding="utf-8"?>
<sst xmlns="http://schemas.openxmlformats.org/spreadsheetml/2006/main" count="401" uniqueCount="212">
  <si>
    <t>Phone</t>
  </si>
  <si>
    <t>Address</t>
  </si>
  <si>
    <t>BELATO</t>
  </si>
  <si>
    <t>THEOPHILUS</t>
  </si>
  <si>
    <t>54 York Rd, ES34 8PY</t>
  </si>
  <si>
    <t>MOHAMMED</t>
  </si>
  <si>
    <t>RAZA</t>
  </si>
  <si>
    <t>Flat 2, Attlee Terrace, ES12 9AC</t>
  </si>
  <si>
    <t>ROOSENDAAL</t>
  </si>
  <si>
    <t>EMILY</t>
  </si>
  <si>
    <t>14 Scarborough St, ES112 7RB</t>
  </si>
  <si>
    <t>HASTINGS</t>
  </si>
  <si>
    <t>LAUREN</t>
  </si>
  <si>
    <t>26 Winchester Rd, ES3 5PP</t>
  </si>
  <si>
    <t>HUSSAIN</t>
  </si>
  <si>
    <t>FARAZ</t>
  </si>
  <si>
    <t>73 Pretoria Avenue, ES6 8ES</t>
  </si>
  <si>
    <t>SAMUELS</t>
  </si>
  <si>
    <t>DIANE</t>
  </si>
  <si>
    <t>85 Mafeking Gardens, ES9  2NI</t>
  </si>
  <si>
    <t>MAKHAROVA</t>
  </si>
  <si>
    <t>JEKATERINA</t>
  </si>
  <si>
    <t>Flat 1, Morrison Tower, East Park Estate, ES3 9NM</t>
  </si>
  <si>
    <t>ROMERO</t>
  </si>
  <si>
    <t>ANGELA</t>
  </si>
  <si>
    <t>110 Salisbury Rd, ES6 8RA</t>
  </si>
  <si>
    <t>ALI</t>
  </si>
  <si>
    <t>ZUBAIR</t>
  </si>
  <si>
    <t>81 Stevenson Close, E6 7PL</t>
  </si>
  <si>
    <t>AHMED</t>
  </si>
  <si>
    <t>HAIDER</t>
  </si>
  <si>
    <t>94 Wolverhampton Avenue, ES2  7DD</t>
  </si>
  <si>
    <t>ERDOGAN</t>
  </si>
  <si>
    <t>BERFIN</t>
  </si>
  <si>
    <t>91 Hobsbawm Avenue, ES9 2PJ</t>
  </si>
  <si>
    <t>SMITH</t>
  </si>
  <si>
    <t>DEAN</t>
  </si>
  <si>
    <t>Flat 45, Castle Tower, East park Estate, ES3 6NP</t>
  </si>
  <si>
    <t>MOHAMED</t>
  </si>
  <si>
    <t>55 Norwich St, ES2 9DC</t>
  </si>
  <si>
    <t>WONG</t>
  </si>
  <si>
    <t>KEVIN</t>
  </si>
  <si>
    <t>Flat 33 Laski Tower, East Park Estate, ES3 6BC</t>
  </si>
  <si>
    <t>PATEL</t>
  </si>
  <si>
    <t>ZAHRA</t>
  </si>
  <si>
    <t>93 River Rd, ES8 9VB</t>
  </si>
  <si>
    <t>FAISAL</t>
  </si>
  <si>
    <t>24 Ketts Hill, ES9 5TT</t>
  </si>
  <si>
    <t>MAHMOOD</t>
  </si>
  <si>
    <t>SOHAIL</t>
  </si>
  <si>
    <t>69 High St, ES2 2AF</t>
  </si>
  <si>
    <t>BROWN</t>
  </si>
  <si>
    <t>ANNA</t>
  </si>
  <si>
    <t>88 Jewel Rd, ES9 6BX</t>
  </si>
  <si>
    <t>WHITE</t>
  </si>
  <si>
    <t>OMAR</t>
  </si>
  <si>
    <t>Flat 22, Laski Tower, East Park Estate, ES3 6BC</t>
  </si>
  <si>
    <t>GONZALEZ</t>
  </si>
  <si>
    <t>LUISA</t>
  </si>
  <si>
    <t>66 Morris St, ES2  8BM</t>
  </si>
  <si>
    <t>SINGH</t>
  </si>
  <si>
    <t>NARINDER</t>
  </si>
  <si>
    <t>23 Stanmore Avenue, ES9 6TV</t>
  </si>
  <si>
    <t>NAWAZ</t>
  </si>
  <si>
    <t>MAQSOOD</t>
  </si>
  <si>
    <t>14 High St, ES2 4LK</t>
  </si>
  <si>
    <t>JOHNSON</t>
  </si>
  <si>
    <t>ALICE</t>
  </si>
  <si>
    <t>17 Scarborough St, ES112 7AX</t>
  </si>
  <si>
    <t>ELBUDAK</t>
  </si>
  <si>
    <t>TANER</t>
  </si>
  <si>
    <t>75 Green Tree Rd, ES8 7BX</t>
  </si>
  <si>
    <t>GREEN</t>
  </si>
  <si>
    <t>GABRIELLA</t>
  </si>
  <si>
    <t>10 Queen Ann Terrace, ES5, 2FF</t>
  </si>
  <si>
    <t>SANEAH</t>
  </si>
  <si>
    <t>113 Salisbury Rd, ES6 8RA</t>
  </si>
  <si>
    <t>CHOUDHURY</t>
  </si>
  <si>
    <t>FAHIM</t>
  </si>
  <si>
    <t>36 Shakespeare St, ES8 9SS</t>
  </si>
  <si>
    <t>ARSLAN</t>
  </si>
  <si>
    <t>IDRIS</t>
  </si>
  <si>
    <t>69 Dryden Avenue, ES3 3PH</t>
  </si>
  <si>
    <t>KHAN</t>
  </si>
  <si>
    <t>ARPITA</t>
  </si>
  <si>
    <t>Flat 45, Morrison Tower, East Park Estate, ES3 9NM</t>
  </si>
  <si>
    <t>CARPENTER</t>
  </si>
  <si>
    <t>CHAQUILLE</t>
  </si>
  <si>
    <t>23 Tennyson St, ES8 6CB</t>
  </si>
  <si>
    <t>PILSUDSKI</t>
  </si>
  <si>
    <t>NATALIA</t>
  </si>
  <si>
    <t>13 Browning Rd, ES4 8CA</t>
  </si>
  <si>
    <t>TRIN</t>
  </si>
  <si>
    <t>LUCY</t>
  </si>
  <si>
    <t>12 Mafeking Gardens, ES9  3NI</t>
  </si>
  <si>
    <t>GOK</t>
  </si>
  <si>
    <t>FATMA</t>
  </si>
  <si>
    <t>19 Malvern Avenue, ES9 9NV</t>
  </si>
  <si>
    <t>BUZ</t>
  </si>
  <si>
    <t>IMELDA</t>
  </si>
  <si>
    <t>42 Abbey Rd, ES6 3TT</t>
  </si>
  <si>
    <t>Seller</t>
  </si>
  <si>
    <t>Bedrooms</t>
  </si>
  <si>
    <t>Type</t>
  </si>
  <si>
    <t xml:space="preserve"> Asking Price </t>
  </si>
  <si>
    <t>Paul Simmons</t>
  </si>
  <si>
    <t>27 Ludlow Rd, ES3 6NP</t>
  </si>
  <si>
    <t>H</t>
  </si>
  <si>
    <t>Gerry Hanlon</t>
  </si>
  <si>
    <t>Stephen Perkins</t>
  </si>
  <si>
    <t>2 The Avenue, East Park Estate, ES3 6BC</t>
  </si>
  <si>
    <t>Hayley Smith</t>
  </si>
  <si>
    <t>93 Peel Rd, ET8 9VB</t>
  </si>
  <si>
    <t>Asif Mohamed</t>
  </si>
  <si>
    <t>24 Ketts Hill, EM45 8DS</t>
  </si>
  <si>
    <t>F</t>
  </si>
  <si>
    <t>Sue Atkins</t>
  </si>
  <si>
    <t>69 High St, London, ES2 2AF</t>
  </si>
  <si>
    <t>Des  Riley</t>
  </si>
  <si>
    <t>88 Jewel Rd, London,ES9 6BX</t>
  </si>
  <si>
    <t>Nick Jason</t>
  </si>
  <si>
    <t>74 Western Avenue, London,ES3 6BC</t>
  </si>
  <si>
    <t>Joga Singh</t>
  </si>
  <si>
    <t>66 Morris St, London,ES2  8BM</t>
  </si>
  <si>
    <t>Lesley Armitage</t>
  </si>
  <si>
    <t>23 Stanmore Avenue, Wolverhampton, ES9 6TV</t>
  </si>
  <si>
    <t>Jake Goodthorpe</t>
  </si>
  <si>
    <t>14 High St, Wolverhamption, ES2 4LK</t>
  </si>
  <si>
    <t>Jasmine Stevens</t>
  </si>
  <si>
    <t>17 Scarborough St, York YK 7AX</t>
  </si>
  <si>
    <t>Mark Bernard</t>
  </si>
  <si>
    <t>75 Green Tree Rd, Bristol, BS1 7BX</t>
  </si>
  <si>
    <t>Neil Johnson</t>
  </si>
  <si>
    <t>10 Queen Ann Terrace, Newcastle, NK4 2PP</t>
  </si>
  <si>
    <t>Narinder Patel</t>
  </si>
  <si>
    <t>113 Salisbury Rd, Bristol, BS6 8RA</t>
  </si>
  <si>
    <t>Melanie Coreley</t>
  </si>
  <si>
    <t>36 Shakespeare St, Nottingham, NT2 8TT</t>
  </si>
  <si>
    <t>Sean O'Flanagan</t>
  </si>
  <si>
    <t>69 Dryden Avenue,Leicester, LC3 3PH</t>
  </si>
  <si>
    <t>Billy Temple</t>
  </si>
  <si>
    <t>23 Tennyson St, Liverpool, LI4 2MN</t>
  </si>
  <si>
    <t>George Patterson</t>
  </si>
  <si>
    <t>13 Browning Rd, Liverpool, LI6 8PP</t>
  </si>
  <si>
    <t>Tommy Wilson</t>
  </si>
  <si>
    <t>12 Mafeking Gardens, Hull, HU9 4NI</t>
  </si>
  <si>
    <t>Staff Name</t>
  </si>
  <si>
    <t>Gender</t>
  </si>
  <si>
    <t>Branch</t>
  </si>
  <si>
    <t>Bill Johnson</t>
  </si>
  <si>
    <t>M</t>
  </si>
  <si>
    <t>South Street</t>
  </si>
  <si>
    <t>Hakim Mohammed</t>
  </si>
  <si>
    <t>Jacek Kaczinski</t>
  </si>
  <si>
    <t>High Street</t>
  </si>
  <si>
    <t>Tracey Stevens</t>
  </si>
  <si>
    <t>Dean Evans</t>
  </si>
  <si>
    <t>Jordan Broadbent</t>
  </si>
  <si>
    <t>Natalie Cooke</t>
  </si>
  <si>
    <t>Debbie Cruikshank</t>
  </si>
  <si>
    <t>David Patterson</t>
  </si>
  <si>
    <t>Hazel McDonald</t>
  </si>
  <si>
    <t xml:space="preserve">Price </t>
  </si>
  <si>
    <t>Property Address</t>
  </si>
  <si>
    <t>Date of Completion</t>
  </si>
  <si>
    <t>Owner</t>
  </si>
  <si>
    <t>Number of bedrooms</t>
  </si>
  <si>
    <t>Type of property</t>
  </si>
  <si>
    <t>Asking Price</t>
  </si>
  <si>
    <t>Buyer's Forename</t>
  </si>
  <si>
    <t>Buyer's Surname</t>
  </si>
  <si>
    <t>Buyers Last Name</t>
  </si>
  <si>
    <t>01245-8862583</t>
  </si>
  <si>
    <t>0208-4080711</t>
  </si>
  <si>
    <t>0161-4606070</t>
  </si>
  <si>
    <t>0121-7096274</t>
  </si>
  <si>
    <t>0161-7316679</t>
  </si>
  <si>
    <t>0207- 4224074</t>
  </si>
  <si>
    <t>0207-9435776</t>
  </si>
  <si>
    <t>0208-3824772</t>
  </si>
  <si>
    <t>0208-7453421</t>
  </si>
  <si>
    <t>01902-5697386</t>
  </si>
  <si>
    <t>01902-6226932</t>
  </si>
  <si>
    <t>01904-7108614</t>
  </si>
  <si>
    <t>00117-3882609</t>
  </si>
  <si>
    <t>0191-2889591</t>
  </si>
  <si>
    <t>00117-7548555</t>
  </si>
  <si>
    <t>0115-2359908</t>
  </si>
  <si>
    <t>0116-9505880</t>
  </si>
  <si>
    <t>0151-2203738</t>
  </si>
  <si>
    <t>0151-4514075</t>
  </si>
  <si>
    <t>01482-3137549</t>
  </si>
  <si>
    <t>Buyers First Name</t>
  </si>
  <si>
    <t>H= House</t>
  </si>
  <si>
    <t xml:space="preserve">F = Flat </t>
  </si>
  <si>
    <t>Available Property</t>
  </si>
  <si>
    <t>Row Labels</t>
  </si>
  <si>
    <t>Grand Total</t>
  </si>
  <si>
    <t>Bill Johnson Total</t>
  </si>
  <si>
    <t>David Patterson Total</t>
  </si>
  <si>
    <t>Dean Evans Total</t>
  </si>
  <si>
    <t>Debbie Cruikshank Total</t>
  </si>
  <si>
    <t>Hakim Mohammed Total</t>
  </si>
  <si>
    <t>Hazel McDonald Total</t>
  </si>
  <si>
    <t>Jacek Kaczinski Total</t>
  </si>
  <si>
    <t>Jordan Broadbent Total</t>
  </si>
  <si>
    <t>Natalie Cooke Total</t>
  </si>
  <si>
    <t>Tracey Stevens Total</t>
  </si>
  <si>
    <t>South Street Total</t>
  </si>
  <si>
    <t>High Street Total</t>
  </si>
  <si>
    <t>Count of Property Address</t>
  </si>
  <si>
    <t>Taken/Not Taken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</si>
</sst>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£&quot;#,##0;[Red]\-&quot;£&quot;#,##0"/>
    <numFmt numFmtId="44" formatCode="_-&quot;£&quot;* #,##0.00_-;\-&quot;£&quot;* #,##0.00_-;_-&quot;£&quot;* &quot;-&quot;??_-;_-@_-"/>
    <numFmt numFmtId="164" formatCode="_-[$£-809]* #,##0.00_-;\-[$£-809]* #,##0.00_-;_-[$£-809]* &quot;-&quot;??_-;_-@_-"/>
    <numFmt numFmtId="165" formatCode="&quot;£&quot;#,##0.00"/>
  </numFmts>
  <fonts count="1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6" fontId="2" fillId="0" borderId="0" xfId="0" applyNumberFormat="1" applyFont="1" applyAlignmen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14" fontId="4" fillId="0" borderId="0" xfId="0" applyNumberFormat="1" applyFont="1"/>
    <xf numFmtId="0" fontId="4" fillId="0" borderId="0" xfId="0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5" fillId="0" borderId="0" xfId="0" applyFont="1"/>
    <xf numFmtId="164" fontId="1" fillId="0" borderId="0" xfId="0" applyNumberFormat="1" applyFont="1" applyAlignment="1">
      <alignment vertical="center"/>
    </xf>
    <xf numFmtId="164" fontId="4" fillId="0" borderId="0" xfId="0" applyNumberFormat="1" applyFont="1"/>
    <xf numFmtId="0" fontId="9" fillId="0" borderId="0" xfId="0" applyFont="1" applyAlignment="1">
      <alignment vertical="center"/>
    </xf>
    <xf numFmtId="0" fontId="9" fillId="0" borderId="0" xfId="0" applyFont="1"/>
    <xf numFmtId="0" fontId="4" fillId="0" borderId="0" xfId="0" applyFont="1" applyAlignment="1">
      <alignment vertical="center"/>
    </xf>
    <xf numFmtId="0" fontId="0" fillId="0" borderId="0" xfId="0" applyFont="1"/>
    <xf numFmtId="0" fontId="0" fillId="0" borderId="0" xfId="0" applyFont="1" applyAlignment="1">
      <alignment vertical="center"/>
    </xf>
    <xf numFmtId="14" fontId="0" fillId="0" borderId="0" xfId="0" applyNumberFormat="1" applyFont="1"/>
    <xf numFmtId="0" fontId="0" fillId="0" borderId="0" xfId="0" pivotButton="1"/>
    <xf numFmtId="0" fontId="0" fillId="0" borderId="0" xfId="0" applyNumberFormat="1"/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44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164" fontId="0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0" borderId="0" xfId="0" applyFont="1" applyAlignment="1">
      <alignment vertical="center" wrapText="1"/>
    </xf>
    <xf numFmtId="165" fontId="0" fillId="0" borderId="0" xfId="0" applyNumberFormat="1" applyFont="1" applyAlignment="1">
      <alignment vertical="center"/>
    </xf>
  </cellXfs>
  <cellStyles count="1"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£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[Unit 42 Estate Agent Spreadsheet.xlsm]Bar Chart!PivotTable8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Sales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'Bar Chart'!$B$3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'Bar Chart'!$A$4:$A$54</c:f>
              <c:multiLvlStrCache>
                <c:ptCount val="10"/>
                <c:lvl>
                  <c:pt idx="0">
                    <c:v>M</c:v>
                  </c:pt>
                  <c:pt idx="1">
                    <c:v>M</c:v>
                  </c:pt>
                  <c:pt idx="2">
                    <c:v>M</c:v>
                  </c:pt>
                  <c:pt idx="3">
                    <c:v>F</c:v>
                  </c:pt>
                  <c:pt idx="4">
                    <c:v>M</c:v>
                  </c:pt>
                  <c:pt idx="5">
                    <c:v>F</c:v>
                  </c:pt>
                  <c:pt idx="6">
                    <c:v>M</c:v>
                  </c:pt>
                  <c:pt idx="7">
                    <c:v>M</c:v>
                  </c:pt>
                  <c:pt idx="8">
                    <c:v>F</c:v>
                  </c:pt>
                  <c:pt idx="9">
                    <c:v>F</c:v>
                  </c:pt>
                </c:lvl>
                <c:lvl>
                  <c:pt idx="0">
                    <c:v>South Street</c:v>
                  </c:pt>
                  <c:pt idx="1">
                    <c:v>High Street</c:v>
                  </c:pt>
                  <c:pt idx="2">
                    <c:v>High Street</c:v>
                  </c:pt>
                  <c:pt idx="3">
                    <c:v>High Street</c:v>
                  </c:pt>
                  <c:pt idx="4">
                    <c:v>South Street</c:v>
                  </c:pt>
                  <c:pt idx="5">
                    <c:v>South Street</c:v>
                  </c:pt>
                  <c:pt idx="6">
                    <c:v>High Street</c:v>
                  </c:pt>
                  <c:pt idx="7">
                    <c:v>South Street</c:v>
                  </c:pt>
                  <c:pt idx="8">
                    <c:v>South Street</c:v>
                  </c:pt>
                  <c:pt idx="9">
                    <c:v>High Street</c:v>
                  </c:pt>
                </c:lvl>
                <c:lvl>
                  <c:pt idx="0">
                    <c:v>Bill Johnson</c:v>
                  </c:pt>
                  <c:pt idx="1">
                    <c:v>David Patterson</c:v>
                  </c:pt>
                  <c:pt idx="2">
                    <c:v>Dean Evans</c:v>
                  </c:pt>
                  <c:pt idx="3">
                    <c:v>Debbie Cruikshank</c:v>
                  </c:pt>
                  <c:pt idx="4">
                    <c:v>Hakim Mohammed</c:v>
                  </c:pt>
                  <c:pt idx="5">
                    <c:v>Hazel McDonald</c:v>
                  </c:pt>
                  <c:pt idx="6">
                    <c:v>Jacek Kaczinski</c:v>
                  </c:pt>
                  <c:pt idx="7">
                    <c:v>Jordan Broadbent</c:v>
                  </c:pt>
                  <c:pt idx="8">
                    <c:v>Natalie Cooke</c:v>
                  </c:pt>
                  <c:pt idx="9">
                    <c:v>Tracey Stevens</c:v>
                  </c:pt>
                </c:lvl>
              </c:multiLvlStrCache>
            </c:multiLvlStrRef>
          </c:cat>
          <c:val>
            <c:numRef>
              <c:f>'Bar Chart'!$B$4:$B$54</c:f>
              <c:numCache>
                <c:formatCode>General</c:formatCode>
                <c:ptCount val="10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A-445D-885C-D40488ADF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9494664"/>
        <c:axId val="529495320"/>
      </c:barChart>
      <c:catAx>
        <c:axId val="529494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Sales</a:t>
                </a:r>
                <a:r>
                  <a:rPr lang="en-GB" baseline="0"/>
                  <a:t> people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4635734007781252"/>
              <c:y val="0.945094088513661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495320"/>
        <c:crosses val="autoZero"/>
        <c:auto val="1"/>
        <c:lblAlgn val="ctr"/>
        <c:lblOffset val="100"/>
        <c:noMultiLvlLbl val="0"/>
      </c:catAx>
      <c:valAx>
        <c:axId val="529495320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Sold</a:t>
                </a:r>
                <a:r>
                  <a:rPr lang="en-GB" baseline="0"/>
                  <a:t> Property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49466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15240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6</xdr:row>
          <xdr:rowOff>167640</xdr:rowOff>
        </xdr:from>
        <xdr:to>
          <xdr:col>4</xdr:col>
          <xdr:colOff>289560</xdr:colOff>
          <xdr:row>9</xdr:row>
          <xdr:rowOff>167640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6</xdr:row>
          <xdr:rowOff>175260</xdr:rowOff>
        </xdr:from>
        <xdr:to>
          <xdr:col>7</xdr:col>
          <xdr:colOff>335280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5</xdr:col>
          <xdr:colOff>601980</xdr:colOff>
          <xdr:row>13</xdr:row>
          <xdr:rowOff>175260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2</xdr:row>
          <xdr:rowOff>0</xdr:rowOff>
        </xdr:from>
        <xdr:to>
          <xdr:col>6</xdr:col>
          <xdr:colOff>7620</xdr:colOff>
          <xdr:row>5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</xdr:colOff>
      <xdr:row>2</xdr:row>
      <xdr:rowOff>60960</xdr:rowOff>
    </xdr:from>
    <xdr:to>
      <xdr:col>16</xdr:col>
      <xdr:colOff>7620</xdr:colOff>
      <xdr:row>29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idon Jude Fernandes" refreshedDate="42869.907655439813" createdVersion="6" refreshedVersion="6" minRefreshableVersion="3" recordCount="15" xr:uid="{00000000-000A-0000-FFFF-FFFF00000000}">
  <cacheSource type="worksheet">
    <worksheetSource name="Table3"/>
  </cacheSource>
  <cacheFields count="8">
    <cacheField name="Staff Name" numFmtId="0">
      <sharedItems count="10">
        <s v="Bill Johnson"/>
        <s v="David Patterson"/>
        <s v="Dean Evans"/>
        <s v="Debbie Cruikshank"/>
        <s v="Hakim Mohammed"/>
        <s v="Hazel McDonald"/>
        <s v="Jacek Kaczinski"/>
        <s v="Jordan Broadbent"/>
        <s v="Natalie Cooke"/>
        <s v="Tracey Stevens"/>
      </sharedItems>
    </cacheField>
    <cacheField name="Gender" numFmtId="0">
      <sharedItems count="2">
        <s v="M"/>
        <s v="F"/>
      </sharedItems>
    </cacheField>
    <cacheField name="Branch" numFmtId="0">
      <sharedItems count="2">
        <s v="South Street"/>
        <s v="High Street"/>
      </sharedItems>
    </cacheField>
    <cacheField name="Buyers First Name" numFmtId="0">
      <sharedItems/>
    </cacheField>
    <cacheField name="Buyers Last Name" numFmtId="0">
      <sharedItems/>
    </cacheField>
    <cacheField name="Property Address" numFmtId="0">
      <sharedItems/>
    </cacheField>
    <cacheField name="Date of Completion" numFmtId="14">
      <sharedItems containsSemiMixedTypes="0" containsNonDate="0" containsDate="1" containsString="0" minDate="2017-05-14T00:00:00" maxDate="2017-05-15T00:00:00"/>
    </cacheField>
    <cacheField name="Price " numFmtId="164">
      <sharedItems containsSemiMixedTypes="0" containsString="0" containsNumber="1" containsInteger="1" minValue="400000" maxValue="9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0"/>
    <x v="0"/>
    <x v="0"/>
    <s v="ALICE"/>
    <s v="JOHNSON"/>
    <s v="69 Dryden Avenue,Leicester, LC3 3PH"/>
    <d v="2017-05-14T00:00:00"/>
    <n v="500000"/>
  </r>
  <r>
    <x v="1"/>
    <x v="0"/>
    <x v="1"/>
    <s v="CHAQUILLE"/>
    <s v="CARPENTER"/>
    <s v="13 Browning Rd, Liverpool, LI6 8PP"/>
    <d v="2017-05-14T00:00:00"/>
    <n v="600000"/>
  </r>
  <r>
    <x v="2"/>
    <x v="0"/>
    <x v="1"/>
    <s v="EMILY"/>
    <s v="ROOSENDAAL"/>
    <s v="23 Tennyson St, Liverpool, LI4 2MN"/>
    <d v="2017-05-14T00:00:00"/>
    <n v="400000"/>
  </r>
  <r>
    <x v="3"/>
    <x v="1"/>
    <x v="1"/>
    <s v="ZUBAIR"/>
    <s v="ALI"/>
    <s v="88 Jewel Rd, London,ES9 6BX"/>
    <d v="2017-05-14T00:00:00"/>
    <n v="450000"/>
  </r>
  <r>
    <x v="4"/>
    <x v="0"/>
    <x v="0"/>
    <s v="DEAN"/>
    <s v="SMITH"/>
    <s v="55 Norwich St, ES2 9DC"/>
    <d v="2017-05-14T00:00:00"/>
    <n v="530000"/>
  </r>
  <r>
    <x v="5"/>
    <x v="1"/>
    <x v="0"/>
    <s v="THEOPHILUS"/>
    <s v="BELATO"/>
    <s v="14 High St, Wolverhamption, ES2 4LK"/>
    <d v="2017-05-14T00:00:00"/>
    <n v="630000"/>
  </r>
  <r>
    <x v="6"/>
    <x v="0"/>
    <x v="1"/>
    <s v="NATALIA"/>
    <s v="PILSUDSKI"/>
    <s v="74 Western Avenue, London,ES3 6BC"/>
    <d v="2017-05-14T00:00:00"/>
    <n v="510000"/>
  </r>
  <r>
    <x v="7"/>
    <x v="0"/>
    <x v="0"/>
    <s v="MOHAMED"/>
    <s v="ALI"/>
    <s v="27 Ludlow Rd, ES3 6NP"/>
    <d v="2017-05-14T00:00:00"/>
    <n v="420000"/>
  </r>
  <r>
    <x v="8"/>
    <x v="1"/>
    <x v="0"/>
    <s v="LUCY"/>
    <s v="TRIN"/>
    <s v="2 The Avenue, East Park Estate, ES3 6BC"/>
    <d v="2017-05-14T00:00:00"/>
    <n v="750000"/>
  </r>
  <r>
    <x v="9"/>
    <x v="1"/>
    <x v="1"/>
    <s v="GABRIELLA"/>
    <s v="GREEN"/>
    <s v="93 Peel Rd, ET8 9VB"/>
    <d v="2017-05-14T00:00:00"/>
    <n v="800000"/>
  </r>
  <r>
    <x v="0"/>
    <x v="0"/>
    <x v="0"/>
    <s v="ANGELA"/>
    <s v="ROMERO"/>
    <s v="24 Ketts Hill, EM45 8DS"/>
    <d v="2017-05-14T00:00:00"/>
    <n v="545000"/>
  </r>
  <r>
    <x v="0"/>
    <x v="0"/>
    <x v="0"/>
    <s v="DIANE"/>
    <s v="SAMUELS"/>
    <s v="17 Scarborough St, York YK 7AX"/>
    <d v="2017-05-14T00:00:00"/>
    <n v="670000"/>
  </r>
  <r>
    <x v="1"/>
    <x v="0"/>
    <x v="1"/>
    <s v="FATMA"/>
    <s v="GOK"/>
    <s v="12 Mafeking Gardens, Hull, HU9 4NI"/>
    <d v="2017-05-14T00:00:00"/>
    <n v="570000"/>
  </r>
  <r>
    <x v="5"/>
    <x v="1"/>
    <x v="0"/>
    <s v="ZAHRA"/>
    <s v="PATEL"/>
    <s v="36 Shakespeare St, Nottingham, NT2 8TT"/>
    <d v="2017-05-14T00:00:00"/>
    <n v="890000"/>
  </r>
  <r>
    <x v="9"/>
    <x v="1"/>
    <x v="1"/>
    <s v="HAIDER"/>
    <s v="AHMED"/>
    <s v="10 Queen Ann Terrace, Newcastle, NK4 2PP"/>
    <d v="2017-05-14T00:00:00"/>
    <n v="9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B54" firstHeaderRow="1" firstDataRow="1" firstDataCol="1"/>
  <pivotFields count="8">
    <pivotField axis="axisRow" subtotalTop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Row" subtotalTop="0" showAll="0">
      <items count="3">
        <item x="1"/>
        <item x="0"/>
        <item t="default"/>
      </items>
    </pivotField>
    <pivotField subtotalTop="0" showAll="0"/>
    <pivotField subtotalTop="0" showAll="0"/>
    <pivotField dataField="1" subtotalTop="0" showAll="0"/>
    <pivotField numFmtId="14" subtotalTop="0" showAll="0"/>
    <pivotField numFmtId="164" subtotalTop="0" showAll="0"/>
  </pivotFields>
  <rowFields count="3">
    <field x="0"/>
    <field x="2"/>
    <field x="1"/>
  </rowFields>
  <rowItems count="51">
    <i>
      <x/>
    </i>
    <i r="1">
      <x v="1"/>
    </i>
    <i r="2">
      <x v="1"/>
    </i>
    <i t="default" r="1">
      <x v="1"/>
    </i>
    <i t="default">
      <x/>
    </i>
    <i>
      <x v="1"/>
    </i>
    <i r="1">
      <x/>
    </i>
    <i r="2">
      <x v="1"/>
    </i>
    <i t="default" r="1">
      <x/>
    </i>
    <i t="default">
      <x v="1"/>
    </i>
    <i>
      <x v="2"/>
    </i>
    <i r="1">
      <x/>
    </i>
    <i r="2">
      <x v="1"/>
    </i>
    <i t="default" r="1">
      <x/>
    </i>
    <i t="default">
      <x v="2"/>
    </i>
    <i>
      <x v="3"/>
    </i>
    <i r="1">
      <x/>
    </i>
    <i r="2">
      <x/>
    </i>
    <i t="default" r="1">
      <x/>
    </i>
    <i t="default">
      <x v="3"/>
    </i>
    <i>
      <x v="4"/>
    </i>
    <i r="1">
      <x v="1"/>
    </i>
    <i r="2">
      <x v="1"/>
    </i>
    <i t="default" r="1">
      <x v="1"/>
    </i>
    <i t="default">
      <x v="4"/>
    </i>
    <i>
      <x v="5"/>
    </i>
    <i r="1">
      <x v="1"/>
    </i>
    <i r="2">
      <x/>
    </i>
    <i t="default" r="1">
      <x v="1"/>
    </i>
    <i t="default">
      <x v="5"/>
    </i>
    <i>
      <x v="6"/>
    </i>
    <i r="1">
      <x/>
    </i>
    <i r="2">
      <x v="1"/>
    </i>
    <i t="default" r="1">
      <x/>
    </i>
    <i t="default">
      <x v="6"/>
    </i>
    <i>
      <x v="7"/>
    </i>
    <i r="1">
      <x v="1"/>
    </i>
    <i r="2">
      <x v="1"/>
    </i>
    <i t="default" r="1">
      <x v="1"/>
    </i>
    <i t="default">
      <x v="7"/>
    </i>
    <i>
      <x v="8"/>
    </i>
    <i r="1">
      <x v="1"/>
    </i>
    <i r="2">
      <x/>
    </i>
    <i t="default" r="1">
      <x v="1"/>
    </i>
    <i t="default">
      <x v="8"/>
    </i>
    <i>
      <x v="9"/>
    </i>
    <i r="1">
      <x/>
    </i>
    <i r="2">
      <x/>
    </i>
    <i t="default" r="1">
      <x/>
    </i>
    <i t="default">
      <x v="9"/>
    </i>
    <i t="grand">
      <x/>
    </i>
  </rowItems>
  <colItems count="1">
    <i/>
  </colItems>
  <dataFields count="1">
    <dataField name="Count of Property Address" fld="5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C11" totalsRowShown="0" headerRowDxfId="20" dataDxfId="19">
  <autoFilter ref="A1:C11" xr:uid="{00000000-0009-0000-0100-000002000000}">
    <filterColumn colId="0" hiddenButton="1"/>
    <filterColumn colId="1" hiddenButton="1"/>
    <filterColumn colId="2" hiddenButton="1"/>
  </autoFilter>
  <tableColumns count="3">
    <tableColumn id="1" xr3:uid="{00000000-0010-0000-0000-000001000000}" name="Staff Name" dataDxfId="18"/>
    <tableColumn id="2" xr3:uid="{00000000-0010-0000-0000-000002000000}" name="Gender" dataDxfId="17"/>
    <tableColumn id="3" xr3:uid="{00000000-0010-0000-0000-000003000000}" name="Branch" dataDxfId="1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A1:D35" totalsRowShown="0" headerRowDxfId="15" dataDxfId="14">
  <autoFilter ref="A1:D35" xr:uid="{00000000-0009-0000-0100-000004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100-000001000000}" name="Buyer's Forename" dataDxfId="13"/>
    <tableColumn id="2" xr3:uid="{00000000-0010-0000-0100-000002000000}" name="Buyer's Surname" dataDxfId="12"/>
    <tableColumn id="3" xr3:uid="{00000000-0010-0000-0100-000003000000}" name="Address" dataDxfId="11"/>
    <tableColumn id="4" xr3:uid="{00000000-0010-0000-0100-000004000000}" name="Phone" dataDxfId="1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1:H16" headerRowDxfId="9" dataDxfId="8">
  <autoFilter ref="A1:H16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200-000001000000}" name="Staff Name" totalsRowLabel="Total" dataDxfId="7"/>
    <tableColumn id="2" xr3:uid="{00000000-0010-0000-0200-000002000000}" name="Gender" dataDxfId="6">
      <calculatedColumnFormula>IF(A2&lt;&gt;"",VLOOKUP(A2,StaffInfo,2), "")</calculatedColumnFormula>
    </tableColumn>
    <tableColumn id="3" xr3:uid="{00000000-0010-0000-0200-000003000000}" name="Branch" dataDxfId="5">
      <calculatedColumnFormula>IF(A2&lt;&gt;"",VLOOKUP(A2,StaffInfo,3),"")</calculatedColumnFormula>
    </tableColumn>
    <tableColumn id="4" xr3:uid="{00000000-0010-0000-0200-000004000000}" name="Buyers First Name" dataDxfId="4"/>
    <tableColumn id="5" xr3:uid="{00000000-0010-0000-0200-000005000000}" name="Buyers Last Name" dataDxfId="3">
      <calculatedColumnFormula>IF(D2&lt;&gt;"",VLOOKUP(D2,BuyersInfo,2),"")</calculatedColumnFormula>
    </tableColumn>
    <tableColumn id="6" xr3:uid="{00000000-0010-0000-0200-000006000000}" name="Property Address" dataDxfId="2"/>
    <tableColumn id="7" xr3:uid="{00000000-0010-0000-0200-000007000000}" name="Date of Completion" dataDxfId="1">
      <calculatedColumnFormula>TODAY()</calculatedColumnFormula>
    </tableColumn>
    <tableColumn id="8" xr3:uid="{00000000-0010-0000-0200-000008000000}" name="Price 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J6" sqref="J6"/>
    </sheetView>
  </sheetViews>
  <sheetFormatPr defaultRowHeight="14.4" x14ac:dyDescent="0.3"/>
  <sheetData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15240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4_Click">
                <anchor moveWithCells="1" sizeWithCells="1">
                  <from>
                    <xdr:col>2</xdr:col>
                    <xdr:colOff>281940</xdr:colOff>
                    <xdr:row>6</xdr:row>
                    <xdr:rowOff>167640</xdr:rowOff>
                  </from>
                  <to>
                    <xdr:col>4</xdr:col>
                    <xdr:colOff>289560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Button5_Click">
                <anchor moveWithCells="1" sizeWithCells="1">
                  <from>
                    <xdr:col>5</xdr:col>
                    <xdr:colOff>342900</xdr:colOff>
                    <xdr:row>6</xdr:row>
                    <xdr:rowOff>175260</xdr:rowOff>
                  </from>
                  <to>
                    <xdr:col>7</xdr:col>
                    <xdr:colOff>335280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Button6_Click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601980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Button2_Click">
                <anchor moveWithCells="1" sizeWithCells="1">
                  <from>
                    <xdr:col>3</xdr:col>
                    <xdr:colOff>601980</xdr:colOff>
                    <xdr:row>2</xdr:row>
                    <xdr:rowOff>0</xdr:rowOff>
                  </from>
                  <to>
                    <xdr:col>6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Button3_Click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1"/>
  <sheetViews>
    <sheetView topLeftCell="F1" workbookViewId="0">
      <selection activeCell="J2" sqref="J2"/>
    </sheetView>
  </sheetViews>
  <sheetFormatPr defaultRowHeight="14.4" x14ac:dyDescent="0.3"/>
  <cols>
    <col min="1" max="1" width="15.33203125" bestFit="1" customWidth="1"/>
    <col min="2" max="2" width="40" bestFit="1" customWidth="1"/>
    <col min="3" max="3" width="19.33203125" bestFit="1" customWidth="1"/>
    <col min="4" max="4" width="15.21875" bestFit="1" customWidth="1"/>
    <col min="5" max="5" width="11.109375" bestFit="1" customWidth="1"/>
    <col min="7" max="7" width="15.21875" bestFit="1" customWidth="1"/>
    <col min="9" max="9" width="21" bestFit="1" customWidth="1"/>
    <col min="10" max="10" width="40" bestFit="1" customWidth="1"/>
    <col min="11" max="11" width="40" style="21" bestFit="1" customWidth="1"/>
  </cols>
  <sheetData>
    <row r="1" spans="1:10" x14ac:dyDescent="0.3">
      <c r="A1" s="15" t="s">
        <v>165</v>
      </c>
      <c r="B1" s="15" t="s">
        <v>1</v>
      </c>
      <c r="C1" s="15" t="s">
        <v>166</v>
      </c>
      <c r="D1" s="15" t="s">
        <v>167</v>
      </c>
      <c r="E1" s="15" t="s">
        <v>168</v>
      </c>
      <c r="G1" s="15" t="s">
        <v>167</v>
      </c>
      <c r="I1" s="15" t="s">
        <v>211</v>
      </c>
      <c r="J1" s="15" t="s">
        <v>195</v>
      </c>
    </row>
    <row r="2" spans="1:10" x14ac:dyDescent="0.3">
      <c r="A2" s="2" t="s">
        <v>113</v>
      </c>
      <c r="B2" s="2" t="s">
        <v>114</v>
      </c>
      <c r="C2" s="5">
        <v>1</v>
      </c>
      <c r="D2" s="2" t="s">
        <v>115</v>
      </c>
      <c r="E2" s="6">
        <v>140992</v>
      </c>
      <c r="G2" s="15" t="s">
        <v>194</v>
      </c>
      <c r="I2">
        <f>COUNTIF(Sales!F:F,B2)</f>
        <v>1</v>
      </c>
      <c r="J2" s="21" t="str">
        <f>IF(I2=0,B2," ")</f>
        <v xml:space="preserve"> </v>
      </c>
    </row>
    <row r="3" spans="1:10" x14ac:dyDescent="0.3">
      <c r="A3" s="2" t="s">
        <v>140</v>
      </c>
      <c r="B3" s="2" t="s">
        <v>141</v>
      </c>
      <c r="C3" s="5">
        <v>4</v>
      </c>
      <c r="D3" s="2" t="s">
        <v>107</v>
      </c>
      <c r="E3" s="6">
        <v>594826</v>
      </c>
      <c r="G3" s="15" t="s">
        <v>193</v>
      </c>
      <c r="I3">
        <f>COUNTIF(Sales!F:F,B3)</f>
        <v>1</v>
      </c>
      <c r="J3" s="21" t="str">
        <f t="shared" ref="J3:J21" si="0">IF(I3=0,B3," ")</f>
        <v xml:space="preserve"> </v>
      </c>
    </row>
    <row r="4" spans="1:10" x14ac:dyDescent="0.3">
      <c r="A4" s="2" t="s">
        <v>118</v>
      </c>
      <c r="B4" s="2" t="s">
        <v>119</v>
      </c>
      <c r="C4" s="5">
        <v>3</v>
      </c>
      <c r="D4" s="2" t="s">
        <v>107</v>
      </c>
      <c r="E4" s="6">
        <v>518985</v>
      </c>
      <c r="I4">
        <f>COUNTIF(Sales!F:F,B4)</f>
        <v>1</v>
      </c>
      <c r="J4" s="21" t="str">
        <f t="shared" si="0"/>
        <v xml:space="preserve"> </v>
      </c>
    </row>
    <row r="5" spans="1:10" x14ac:dyDescent="0.3">
      <c r="A5" s="2" t="s">
        <v>142</v>
      </c>
      <c r="B5" s="2" t="s">
        <v>143</v>
      </c>
      <c r="C5" s="5">
        <v>1</v>
      </c>
      <c r="D5" s="2" t="s">
        <v>115</v>
      </c>
      <c r="E5" s="6">
        <v>146414</v>
      </c>
      <c r="I5">
        <f>COUNTIF(Sales!F:F,B5)</f>
        <v>1</v>
      </c>
      <c r="J5" s="21" t="str">
        <f t="shared" si="0"/>
        <v xml:space="preserve"> </v>
      </c>
    </row>
    <row r="6" spans="1:10" x14ac:dyDescent="0.3">
      <c r="A6" s="7" t="s">
        <v>108</v>
      </c>
      <c r="B6" s="2" t="s">
        <v>39</v>
      </c>
      <c r="C6" s="5">
        <v>3</v>
      </c>
      <c r="D6" s="2" t="s">
        <v>107</v>
      </c>
      <c r="E6" s="6">
        <v>467000</v>
      </c>
      <c r="I6">
        <f>COUNTIF(Sales!F:F,B6)</f>
        <v>1</v>
      </c>
      <c r="J6" s="21" t="str">
        <f t="shared" si="0"/>
        <v xml:space="preserve"> </v>
      </c>
    </row>
    <row r="7" spans="1:10" x14ac:dyDescent="0.3">
      <c r="A7" s="2" t="s">
        <v>111</v>
      </c>
      <c r="B7" s="2" t="s">
        <v>112</v>
      </c>
      <c r="C7" s="5">
        <v>2</v>
      </c>
      <c r="D7" s="2" t="s">
        <v>107</v>
      </c>
      <c r="E7" s="6">
        <v>410000</v>
      </c>
      <c r="I7">
        <f>COUNTIF(Sales!F:F,B7)</f>
        <v>1</v>
      </c>
      <c r="J7" s="21" t="str">
        <f t="shared" si="0"/>
        <v xml:space="preserve"> </v>
      </c>
    </row>
    <row r="8" spans="1:10" x14ac:dyDescent="0.3">
      <c r="A8" s="2" t="s">
        <v>126</v>
      </c>
      <c r="B8" s="2" t="s">
        <v>127</v>
      </c>
      <c r="C8" s="5">
        <v>3</v>
      </c>
      <c r="D8" s="2" t="s">
        <v>107</v>
      </c>
      <c r="E8" s="6">
        <v>162204</v>
      </c>
      <c r="I8">
        <f>COUNTIF(Sales!F:F,B8)</f>
        <v>1</v>
      </c>
      <c r="J8" s="21" t="str">
        <f t="shared" si="0"/>
        <v xml:space="preserve"> </v>
      </c>
    </row>
    <row r="9" spans="1:10" x14ac:dyDescent="0.3">
      <c r="A9" s="2" t="s">
        <v>128</v>
      </c>
      <c r="B9" s="2" t="s">
        <v>129</v>
      </c>
      <c r="C9" s="5">
        <v>1</v>
      </c>
      <c r="D9" s="2" t="s">
        <v>115</v>
      </c>
      <c r="E9" s="6">
        <v>210000</v>
      </c>
      <c r="I9">
        <f>COUNTIF(Sales!F:F,B9)</f>
        <v>1</v>
      </c>
      <c r="J9" s="21" t="str">
        <f t="shared" si="0"/>
        <v xml:space="preserve"> </v>
      </c>
    </row>
    <row r="10" spans="1:10" x14ac:dyDescent="0.3">
      <c r="A10" s="2" t="s">
        <v>122</v>
      </c>
      <c r="B10" s="2" t="s">
        <v>123</v>
      </c>
      <c r="C10" s="5">
        <v>3</v>
      </c>
      <c r="D10" s="2" t="s">
        <v>107</v>
      </c>
      <c r="E10" s="6">
        <v>573711</v>
      </c>
      <c r="I10">
        <f>COUNTIF(Sales!F:F,B10)</f>
        <v>0</v>
      </c>
      <c r="J10" s="21" t="str">
        <f t="shared" si="0"/>
        <v>66 Morris St, London,ES2  8BM</v>
      </c>
    </row>
    <row r="11" spans="1:10" x14ac:dyDescent="0.3">
      <c r="A11" s="2" t="s">
        <v>124</v>
      </c>
      <c r="B11" s="2" t="s">
        <v>125</v>
      </c>
      <c r="C11" s="5">
        <v>1</v>
      </c>
      <c r="D11" s="2" t="s">
        <v>115</v>
      </c>
      <c r="E11" s="6">
        <v>136000</v>
      </c>
      <c r="I11">
        <f>COUNTIF(Sales!F:F,B11)</f>
        <v>0</v>
      </c>
      <c r="J11" s="21" t="str">
        <f t="shared" si="0"/>
        <v>23 Stanmore Avenue, Wolverhampton, ES9 6TV</v>
      </c>
    </row>
    <row r="12" spans="1:10" x14ac:dyDescent="0.3">
      <c r="A12" s="2" t="s">
        <v>130</v>
      </c>
      <c r="B12" s="2" t="s">
        <v>131</v>
      </c>
      <c r="C12" s="5">
        <v>4</v>
      </c>
      <c r="D12" s="2" t="s">
        <v>107</v>
      </c>
      <c r="E12" s="6">
        <v>534648</v>
      </c>
      <c r="I12">
        <f>COUNTIF(Sales!F:F,B12)</f>
        <v>0</v>
      </c>
      <c r="J12" s="21" t="str">
        <f t="shared" si="0"/>
        <v>75 Green Tree Rd, Bristol, BS1 7BX</v>
      </c>
    </row>
    <row r="13" spans="1:10" x14ac:dyDescent="0.3">
      <c r="A13" s="2" t="s">
        <v>136</v>
      </c>
      <c r="B13" s="2" t="s">
        <v>137</v>
      </c>
      <c r="C13" s="5">
        <v>3</v>
      </c>
      <c r="D13" s="2" t="s">
        <v>107</v>
      </c>
      <c r="E13" s="6">
        <v>485094</v>
      </c>
      <c r="I13">
        <f>COUNTIF(Sales!F:F,B13)</f>
        <v>1</v>
      </c>
      <c r="J13" s="21" t="str">
        <f t="shared" si="0"/>
        <v xml:space="preserve"> </v>
      </c>
    </row>
    <row r="14" spans="1:10" x14ac:dyDescent="0.3">
      <c r="A14" s="2" t="s">
        <v>134</v>
      </c>
      <c r="B14" s="2" t="s">
        <v>135</v>
      </c>
      <c r="C14" s="5">
        <v>1</v>
      </c>
      <c r="D14" s="2" t="s">
        <v>115</v>
      </c>
      <c r="E14" s="6">
        <v>144940</v>
      </c>
      <c r="I14">
        <f>COUNTIF(Sales!F:F,B14)</f>
        <v>0</v>
      </c>
      <c r="J14" s="21" t="str">
        <f t="shared" si="0"/>
        <v>113 Salisbury Rd, Bristol, BS6 8RA</v>
      </c>
    </row>
    <row r="15" spans="1:10" x14ac:dyDescent="0.3">
      <c r="A15" s="2" t="s">
        <v>132</v>
      </c>
      <c r="B15" s="2" t="s">
        <v>133</v>
      </c>
      <c r="C15" s="5">
        <v>2</v>
      </c>
      <c r="D15" s="2" t="s">
        <v>107</v>
      </c>
      <c r="E15" s="6">
        <v>526850</v>
      </c>
      <c r="I15">
        <f>COUNTIF(Sales!F:F,B15)</f>
        <v>1</v>
      </c>
      <c r="J15" s="21" t="str">
        <f t="shared" si="0"/>
        <v xml:space="preserve"> </v>
      </c>
    </row>
    <row r="16" spans="1:10" x14ac:dyDescent="0.3">
      <c r="A16" s="2" t="s">
        <v>120</v>
      </c>
      <c r="B16" s="2" t="s">
        <v>121</v>
      </c>
      <c r="C16" s="5">
        <v>1</v>
      </c>
      <c r="D16" s="2" t="s">
        <v>115</v>
      </c>
      <c r="E16" s="6">
        <v>240000</v>
      </c>
      <c r="I16">
        <f>COUNTIF(Sales!F:F,B16)</f>
        <v>1</v>
      </c>
      <c r="J16" s="21" t="str">
        <f t="shared" si="0"/>
        <v xml:space="preserve"> </v>
      </c>
    </row>
    <row r="17" spans="1:10" x14ac:dyDescent="0.3">
      <c r="A17" s="2" t="s">
        <v>105</v>
      </c>
      <c r="B17" s="2" t="s">
        <v>106</v>
      </c>
      <c r="C17" s="5">
        <v>3</v>
      </c>
      <c r="D17" s="2" t="s">
        <v>107</v>
      </c>
      <c r="E17" s="6">
        <v>450000</v>
      </c>
      <c r="I17">
        <f>COUNTIF(Sales!F:F,B17)</f>
        <v>1</v>
      </c>
      <c r="J17" s="21" t="str">
        <f t="shared" si="0"/>
        <v xml:space="preserve"> </v>
      </c>
    </row>
    <row r="18" spans="1:10" x14ac:dyDescent="0.3">
      <c r="A18" s="2" t="s">
        <v>138</v>
      </c>
      <c r="B18" s="2" t="s">
        <v>139</v>
      </c>
      <c r="C18" s="5">
        <v>4</v>
      </c>
      <c r="D18" s="2" t="s">
        <v>107</v>
      </c>
      <c r="E18" s="6">
        <v>179780</v>
      </c>
      <c r="I18">
        <f>COUNTIF(Sales!F:F,B18)</f>
        <v>1</v>
      </c>
      <c r="J18" s="21" t="str">
        <f t="shared" si="0"/>
        <v xml:space="preserve"> </v>
      </c>
    </row>
    <row r="19" spans="1:10" x14ac:dyDescent="0.3">
      <c r="A19" s="2" t="s">
        <v>109</v>
      </c>
      <c r="B19" s="2" t="s">
        <v>110</v>
      </c>
      <c r="C19" s="5">
        <v>3</v>
      </c>
      <c r="D19" s="2" t="s">
        <v>107</v>
      </c>
      <c r="E19" s="6">
        <v>356000</v>
      </c>
      <c r="I19">
        <f>COUNTIF(Sales!F:F,B19)</f>
        <v>1</v>
      </c>
      <c r="J19" s="21" t="str">
        <f t="shared" si="0"/>
        <v xml:space="preserve"> </v>
      </c>
    </row>
    <row r="20" spans="1:10" x14ac:dyDescent="0.3">
      <c r="A20" s="2" t="s">
        <v>116</v>
      </c>
      <c r="B20" s="2" t="s">
        <v>117</v>
      </c>
      <c r="C20" s="5">
        <v>2</v>
      </c>
      <c r="D20" s="2" t="s">
        <v>115</v>
      </c>
      <c r="E20" s="6">
        <v>185704</v>
      </c>
      <c r="I20">
        <f>COUNTIF(Sales!F:F,B20)</f>
        <v>0</v>
      </c>
      <c r="J20" s="21" t="str">
        <f t="shared" si="0"/>
        <v>69 High St, London, ES2 2AF</v>
      </c>
    </row>
    <row r="21" spans="1:10" x14ac:dyDescent="0.3">
      <c r="A21" s="2" t="s">
        <v>144</v>
      </c>
      <c r="B21" s="2" t="s">
        <v>145</v>
      </c>
      <c r="C21" s="5">
        <v>3</v>
      </c>
      <c r="D21" s="2" t="s">
        <v>107</v>
      </c>
      <c r="E21" s="6">
        <v>237945</v>
      </c>
      <c r="I21">
        <f>COUNTIF(Sales!F:F,B21)</f>
        <v>1</v>
      </c>
      <c r="J21" s="21" t="str">
        <f t="shared" si="0"/>
        <v xml:space="preserve"> </v>
      </c>
    </row>
  </sheetData>
  <sortState ref="A2:E21">
    <sortCondition ref="A1"/>
  </sortState>
  <pageMargins left="0.7" right="0.7" top="0.75" bottom="0.75" header="0.3" footer="0.3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1"/>
  <sheetViews>
    <sheetView workbookViewId="0">
      <selection activeCell="C2" sqref="C2"/>
    </sheetView>
  </sheetViews>
  <sheetFormatPr defaultRowHeight="14.4" x14ac:dyDescent="0.3"/>
  <cols>
    <col min="1" max="1" width="16.5546875" bestFit="1" customWidth="1"/>
    <col min="2" max="2" width="9.109375" bestFit="1" customWidth="1"/>
    <col min="3" max="3" width="11" bestFit="1" customWidth="1"/>
  </cols>
  <sheetData>
    <row r="1" spans="1:3" x14ac:dyDescent="0.3">
      <c r="A1" s="32" t="s">
        <v>146</v>
      </c>
      <c r="B1" s="32" t="s">
        <v>147</v>
      </c>
      <c r="C1" s="32" t="s">
        <v>148</v>
      </c>
    </row>
    <row r="2" spans="1:3" x14ac:dyDescent="0.3">
      <c r="A2" s="22" t="s">
        <v>149</v>
      </c>
      <c r="B2" s="22" t="s">
        <v>150</v>
      </c>
      <c r="C2" s="22" t="s">
        <v>151</v>
      </c>
    </row>
    <row r="3" spans="1:3" x14ac:dyDescent="0.3">
      <c r="A3" s="22" t="s">
        <v>160</v>
      </c>
      <c r="B3" s="22" t="s">
        <v>150</v>
      </c>
      <c r="C3" s="22" t="s">
        <v>154</v>
      </c>
    </row>
    <row r="4" spans="1:3" x14ac:dyDescent="0.3">
      <c r="A4" s="22" t="s">
        <v>156</v>
      </c>
      <c r="B4" s="22" t="s">
        <v>150</v>
      </c>
      <c r="C4" s="22" t="s">
        <v>154</v>
      </c>
    </row>
    <row r="5" spans="1:3" x14ac:dyDescent="0.3">
      <c r="A5" s="22" t="s">
        <v>159</v>
      </c>
      <c r="B5" s="22" t="s">
        <v>115</v>
      </c>
      <c r="C5" s="22" t="s">
        <v>154</v>
      </c>
    </row>
    <row r="6" spans="1:3" x14ac:dyDescent="0.3">
      <c r="A6" s="22" t="s">
        <v>152</v>
      </c>
      <c r="B6" s="22" t="s">
        <v>150</v>
      </c>
      <c r="C6" s="22" t="s">
        <v>151</v>
      </c>
    </row>
    <row r="7" spans="1:3" x14ac:dyDescent="0.3">
      <c r="A7" s="22" t="s">
        <v>161</v>
      </c>
      <c r="B7" s="22" t="s">
        <v>115</v>
      </c>
      <c r="C7" s="22" t="s">
        <v>151</v>
      </c>
    </row>
    <row r="8" spans="1:3" x14ac:dyDescent="0.3">
      <c r="A8" s="22" t="s">
        <v>153</v>
      </c>
      <c r="B8" s="22" t="s">
        <v>150</v>
      </c>
      <c r="C8" s="22" t="s">
        <v>154</v>
      </c>
    </row>
    <row r="9" spans="1:3" x14ac:dyDescent="0.3">
      <c r="A9" s="22" t="s">
        <v>157</v>
      </c>
      <c r="B9" s="22" t="s">
        <v>150</v>
      </c>
      <c r="C9" s="22" t="s">
        <v>151</v>
      </c>
    </row>
    <row r="10" spans="1:3" x14ac:dyDescent="0.3">
      <c r="A10" s="22" t="s">
        <v>158</v>
      </c>
      <c r="B10" s="22" t="s">
        <v>115</v>
      </c>
      <c r="C10" s="22" t="s">
        <v>151</v>
      </c>
    </row>
    <row r="11" spans="1:3" x14ac:dyDescent="0.3">
      <c r="A11" s="22" t="s">
        <v>155</v>
      </c>
      <c r="B11" s="22" t="s">
        <v>115</v>
      </c>
      <c r="C11" s="22" t="s">
        <v>154</v>
      </c>
    </row>
  </sheetData>
  <sortState ref="A2:C11">
    <sortCondition ref="A1"/>
  </sortState>
  <pageMargins left="0.7" right="0.7" top="0.75" bottom="0.75" header="0.3" footer="0.3"/>
  <pageSetup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1"/>
  <sheetViews>
    <sheetView workbookViewId="0">
      <selection activeCell="A2" sqref="A2"/>
    </sheetView>
  </sheetViews>
  <sheetFormatPr defaultRowHeight="14.4" x14ac:dyDescent="0.3"/>
  <cols>
    <col min="1" max="1" width="15.33203125" bestFit="1" customWidth="1"/>
    <col min="2" max="2" width="40" bestFit="1" customWidth="1"/>
    <col min="3" max="3" width="9.5546875" bestFit="1" customWidth="1"/>
    <col min="4" max="4" width="5.109375" bestFit="1" customWidth="1"/>
    <col min="5" max="5" width="12" bestFit="1" customWidth="1"/>
    <col min="6" max="6" width="13.77734375" bestFit="1" customWidth="1"/>
  </cols>
  <sheetData>
    <row r="1" spans="1:6" x14ac:dyDescent="0.3">
      <c r="A1" s="3" t="s">
        <v>101</v>
      </c>
      <c r="B1" s="4" t="s">
        <v>1</v>
      </c>
      <c r="C1" s="4" t="s">
        <v>102</v>
      </c>
      <c r="D1" s="4" t="s">
        <v>103</v>
      </c>
      <c r="E1" s="4" t="s">
        <v>104</v>
      </c>
      <c r="F1" s="4" t="s">
        <v>0</v>
      </c>
    </row>
    <row r="2" spans="1:6" x14ac:dyDescent="0.3">
      <c r="A2" s="2" t="s">
        <v>113</v>
      </c>
      <c r="B2" s="2" t="s">
        <v>114</v>
      </c>
      <c r="C2" s="5">
        <v>1</v>
      </c>
      <c r="D2" s="2" t="s">
        <v>115</v>
      </c>
      <c r="E2" s="6">
        <v>140992</v>
      </c>
      <c r="F2" s="2" t="s">
        <v>176</v>
      </c>
    </row>
    <row r="3" spans="1:6" x14ac:dyDescent="0.3">
      <c r="A3" s="2" t="s">
        <v>140</v>
      </c>
      <c r="B3" s="2" t="s">
        <v>141</v>
      </c>
      <c r="C3" s="5">
        <v>4</v>
      </c>
      <c r="D3" s="2" t="s">
        <v>107</v>
      </c>
      <c r="E3" s="6">
        <v>594826</v>
      </c>
      <c r="F3" s="2" t="s">
        <v>189</v>
      </c>
    </row>
    <row r="4" spans="1:6" x14ac:dyDescent="0.3">
      <c r="A4" s="2" t="s">
        <v>118</v>
      </c>
      <c r="B4" s="2" t="s">
        <v>119</v>
      </c>
      <c r="C4" s="5">
        <v>3</v>
      </c>
      <c r="D4" s="2" t="s">
        <v>107</v>
      </c>
      <c r="E4" s="6">
        <v>518985</v>
      </c>
      <c r="F4" s="2" t="s">
        <v>178</v>
      </c>
    </row>
    <row r="5" spans="1:6" x14ac:dyDescent="0.3">
      <c r="A5" s="2" t="s">
        <v>142</v>
      </c>
      <c r="B5" s="2" t="s">
        <v>143</v>
      </c>
      <c r="C5" s="5">
        <v>1</v>
      </c>
      <c r="D5" s="2" t="s">
        <v>115</v>
      </c>
      <c r="E5" s="6">
        <v>146414</v>
      </c>
      <c r="F5" s="2" t="s">
        <v>190</v>
      </c>
    </row>
    <row r="6" spans="1:6" x14ac:dyDescent="0.3">
      <c r="A6" s="7" t="s">
        <v>108</v>
      </c>
      <c r="B6" s="2" t="s">
        <v>39</v>
      </c>
      <c r="C6" s="5">
        <v>3</v>
      </c>
      <c r="D6" s="2" t="s">
        <v>107</v>
      </c>
      <c r="E6" s="6">
        <v>467000</v>
      </c>
      <c r="F6" s="2" t="s">
        <v>173</v>
      </c>
    </row>
    <row r="7" spans="1:6" x14ac:dyDescent="0.3">
      <c r="A7" s="2" t="s">
        <v>111</v>
      </c>
      <c r="B7" s="2" t="s">
        <v>112</v>
      </c>
      <c r="C7" s="5">
        <v>2</v>
      </c>
      <c r="D7" s="2" t="s">
        <v>107</v>
      </c>
      <c r="E7" s="6">
        <v>410000</v>
      </c>
      <c r="F7" s="2" t="s">
        <v>175</v>
      </c>
    </row>
    <row r="8" spans="1:6" x14ac:dyDescent="0.3">
      <c r="A8" s="2" t="s">
        <v>126</v>
      </c>
      <c r="B8" s="2" t="s">
        <v>127</v>
      </c>
      <c r="C8" s="5">
        <v>3</v>
      </c>
      <c r="D8" s="2" t="s">
        <v>107</v>
      </c>
      <c r="E8" s="6">
        <v>162204</v>
      </c>
      <c r="F8" s="2" t="s">
        <v>182</v>
      </c>
    </row>
    <row r="9" spans="1:6" x14ac:dyDescent="0.3">
      <c r="A9" s="2" t="s">
        <v>128</v>
      </c>
      <c r="B9" s="2" t="s">
        <v>129</v>
      </c>
      <c r="C9" s="5">
        <v>1</v>
      </c>
      <c r="D9" s="2" t="s">
        <v>115</v>
      </c>
      <c r="E9" s="6">
        <v>210000</v>
      </c>
      <c r="F9" s="2" t="s">
        <v>183</v>
      </c>
    </row>
    <row r="10" spans="1:6" x14ac:dyDescent="0.3">
      <c r="A10" s="2" t="s">
        <v>122</v>
      </c>
      <c r="B10" s="2" t="s">
        <v>123</v>
      </c>
      <c r="C10" s="5">
        <v>3</v>
      </c>
      <c r="D10" s="2" t="s">
        <v>107</v>
      </c>
      <c r="E10" s="6">
        <v>573711</v>
      </c>
      <c r="F10" s="2" t="s">
        <v>180</v>
      </c>
    </row>
    <row r="11" spans="1:6" x14ac:dyDescent="0.3">
      <c r="A11" s="2" t="s">
        <v>124</v>
      </c>
      <c r="B11" s="2" t="s">
        <v>125</v>
      </c>
      <c r="C11" s="5">
        <v>1</v>
      </c>
      <c r="D11" s="2" t="s">
        <v>115</v>
      </c>
      <c r="E11" s="6">
        <v>136000</v>
      </c>
      <c r="F11" s="2" t="s">
        <v>181</v>
      </c>
    </row>
    <row r="12" spans="1:6" x14ac:dyDescent="0.3">
      <c r="A12" s="2" t="s">
        <v>130</v>
      </c>
      <c r="B12" s="2" t="s">
        <v>131</v>
      </c>
      <c r="C12" s="5">
        <v>4</v>
      </c>
      <c r="D12" s="2" t="s">
        <v>107</v>
      </c>
      <c r="E12" s="6">
        <v>534648</v>
      </c>
      <c r="F12" s="2" t="s">
        <v>184</v>
      </c>
    </row>
    <row r="13" spans="1:6" x14ac:dyDescent="0.3">
      <c r="A13" s="2" t="s">
        <v>136</v>
      </c>
      <c r="B13" s="2" t="s">
        <v>137</v>
      </c>
      <c r="C13" s="5">
        <v>3</v>
      </c>
      <c r="D13" s="2" t="s">
        <v>107</v>
      </c>
      <c r="E13" s="6">
        <v>485094</v>
      </c>
      <c r="F13" s="2" t="s">
        <v>187</v>
      </c>
    </row>
    <row r="14" spans="1:6" x14ac:dyDescent="0.3">
      <c r="A14" s="2" t="s">
        <v>134</v>
      </c>
      <c r="B14" s="2" t="s">
        <v>135</v>
      </c>
      <c r="C14" s="5">
        <v>1</v>
      </c>
      <c r="D14" s="2" t="s">
        <v>115</v>
      </c>
      <c r="E14" s="6">
        <v>144940</v>
      </c>
      <c r="F14" s="2" t="s">
        <v>186</v>
      </c>
    </row>
    <row r="15" spans="1:6" x14ac:dyDescent="0.3">
      <c r="A15" s="2" t="s">
        <v>132</v>
      </c>
      <c r="B15" s="2" t="s">
        <v>133</v>
      </c>
      <c r="C15" s="5">
        <v>2</v>
      </c>
      <c r="D15" s="2" t="s">
        <v>107</v>
      </c>
      <c r="E15" s="6">
        <v>526850</v>
      </c>
      <c r="F15" s="2" t="s">
        <v>185</v>
      </c>
    </row>
    <row r="16" spans="1:6" x14ac:dyDescent="0.3">
      <c r="A16" s="2" t="s">
        <v>120</v>
      </c>
      <c r="B16" s="2" t="s">
        <v>121</v>
      </c>
      <c r="C16" s="5">
        <v>1</v>
      </c>
      <c r="D16" s="2" t="s">
        <v>115</v>
      </c>
      <c r="E16" s="6">
        <v>240000</v>
      </c>
      <c r="F16" s="2" t="s">
        <v>179</v>
      </c>
    </row>
    <row r="17" spans="1:6" x14ac:dyDescent="0.3">
      <c r="A17" s="2" t="s">
        <v>105</v>
      </c>
      <c r="B17" s="2" t="s">
        <v>106</v>
      </c>
      <c r="C17" s="5">
        <v>3</v>
      </c>
      <c r="D17" s="2" t="s">
        <v>107</v>
      </c>
      <c r="E17" s="6">
        <v>450000</v>
      </c>
      <c r="F17" s="2" t="s">
        <v>172</v>
      </c>
    </row>
    <row r="18" spans="1:6" x14ac:dyDescent="0.3">
      <c r="A18" s="2" t="s">
        <v>138</v>
      </c>
      <c r="B18" s="2" t="s">
        <v>139</v>
      </c>
      <c r="C18" s="5">
        <v>4</v>
      </c>
      <c r="D18" s="2" t="s">
        <v>107</v>
      </c>
      <c r="E18" s="6">
        <v>179780</v>
      </c>
      <c r="F18" s="2" t="s">
        <v>188</v>
      </c>
    </row>
    <row r="19" spans="1:6" x14ac:dyDescent="0.3">
      <c r="A19" s="2" t="s">
        <v>109</v>
      </c>
      <c r="B19" s="2" t="s">
        <v>110</v>
      </c>
      <c r="C19" s="5">
        <v>3</v>
      </c>
      <c r="D19" s="2" t="s">
        <v>107</v>
      </c>
      <c r="E19" s="6">
        <v>356000</v>
      </c>
      <c r="F19" s="2" t="s">
        <v>174</v>
      </c>
    </row>
    <row r="20" spans="1:6" x14ac:dyDescent="0.3">
      <c r="A20" s="2" t="s">
        <v>116</v>
      </c>
      <c r="B20" s="2" t="s">
        <v>117</v>
      </c>
      <c r="C20" s="5">
        <v>2</v>
      </c>
      <c r="D20" s="2" t="s">
        <v>115</v>
      </c>
      <c r="E20" s="6">
        <v>185704</v>
      </c>
      <c r="F20" s="2" t="s">
        <v>177</v>
      </c>
    </row>
    <row r="21" spans="1:6" x14ac:dyDescent="0.3">
      <c r="A21" s="2" t="s">
        <v>144</v>
      </c>
      <c r="B21" s="2" t="s">
        <v>145</v>
      </c>
      <c r="C21" s="5">
        <v>3</v>
      </c>
      <c r="D21" s="2" t="s">
        <v>107</v>
      </c>
      <c r="E21" s="6">
        <v>237945</v>
      </c>
      <c r="F21" s="2" t="s">
        <v>191</v>
      </c>
    </row>
  </sheetData>
  <sortState ref="A2:F21">
    <sortCondition ref="A2"/>
  </sortState>
  <pageMargins left="0.7" right="0.7" top="0.75" bottom="0.75" header="0.3" footer="0.3"/>
  <pageSetup paperSize="9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35"/>
  <sheetViews>
    <sheetView zoomScaleNormal="100" workbookViewId="0">
      <selection activeCell="I19" sqref="I19"/>
    </sheetView>
  </sheetViews>
  <sheetFormatPr defaultRowHeight="14.4" x14ac:dyDescent="0.3"/>
  <cols>
    <col min="1" max="1" width="17.6640625" style="14" bestFit="1" customWidth="1"/>
    <col min="2" max="2" width="16.6640625" style="14" bestFit="1" customWidth="1"/>
    <col min="3" max="3" width="41.6640625" style="14" bestFit="1" customWidth="1"/>
    <col min="4" max="4" width="10" style="14" bestFit="1" customWidth="1"/>
  </cols>
  <sheetData>
    <row r="1" spans="1:4" x14ac:dyDescent="0.3">
      <c r="A1" s="11" t="s">
        <v>169</v>
      </c>
      <c r="B1" s="12" t="s">
        <v>170</v>
      </c>
      <c r="C1" s="11" t="s">
        <v>1</v>
      </c>
      <c r="D1" s="11" t="s">
        <v>0</v>
      </c>
    </row>
    <row r="2" spans="1:4" x14ac:dyDescent="0.3">
      <c r="A2" s="13" t="s">
        <v>67</v>
      </c>
      <c r="B2" s="1" t="s">
        <v>66</v>
      </c>
      <c r="C2" s="13" t="s">
        <v>68</v>
      </c>
      <c r="D2" s="13">
        <v>770768550</v>
      </c>
    </row>
    <row r="3" spans="1:4" x14ac:dyDescent="0.3">
      <c r="A3" s="13" t="s">
        <v>24</v>
      </c>
      <c r="B3" s="1" t="s">
        <v>23</v>
      </c>
      <c r="C3" s="13" t="s">
        <v>25</v>
      </c>
      <c r="D3" s="13">
        <v>754930389</v>
      </c>
    </row>
    <row r="4" spans="1:4" x14ac:dyDescent="0.3">
      <c r="A4" s="13" t="s">
        <v>52</v>
      </c>
      <c r="B4" s="1" t="s">
        <v>51</v>
      </c>
      <c r="C4" s="13" t="s">
        <v>53</v>
      </c>
      <c r="D4" s="13">
        <v>796154801</v>
      </c>
    </row>
    <row r="5" spans="1:4" x14ac:dyDescent="0.3">
      <c r="A5" s="13" t="s">
        <v>84</v>
      </c>
      <c r="B5" s="1" t="s">
        <v>83</v>
      </c>
      <c r="C5" s="13" t="s">
        <v>85</v>
      </c>
      <c r="D5" s="13">
        <v>729307113</v>
      </c>
    </row>
    <row r="6" spans="1:4" x14ac:dyDescent="0.3">
      <c r="A6" s="13" t="s">
        <v>33</v>
      </c>
      <c r="B6" s="1" t="s">
        <v>32</v>
      </c>
      <c r="C6" s="13" t="s">
        <v>34</v>
      </c>
      <c r="D6" s="13">
        <v>793377518</v>
      </c>
    </row>
    <row r="7" spans="1:4" x14ac:dyDescent="0.3">
      <c r="A7" s="13" t="s">
        <v>87</v>
      </c>
      <c r="B7" s="1" t="s">
        <v>86</v>
      </c>
      <c r="C7" s="13" t="s">
        <v>88</v>
      </c>
      <c r="D7" s="13">
        <v>785027912</v>
      </c>
    </row>
    <row r="8" spans="1:4" x14ac:dyDescent="0.3">
      <c r="A8" s="13" t="s">
        <v>36</v>
      </c>
      <c r="B8" s="1" t="s">
        <v>35</v>
      </c>
      <c r="C8" s="13" t="s">
        <v>37</v>
      </c>
      <c r="D8" s="13">
        <v>710391005</v>
      </c>
    </row>
    <row r="9" spans="1:4" x14ac:dyDescent="0.3">
      <c r="A9" s="13" t="s">
        <v>18</v>
      </c>
      <c r="B9" s="1" t="s">
        <v>17</v>
      </c>
      <c r="C9" s="13" t="s">
        <v>19</v>
      </c>
      <c r="D9" s="13">
        <v>788706584</v>
      </c>
    </row>
    <row r="10" spans="1:4" x14ac:dyDescent="0.3">
      <c r="A10" s="13" t="s">
        <v>9</v>
      </c>
      <c r="B10" s="1" t="s">
        <v>8</v>
      </c>
      <c r="C10" s="13" t="s">
        <v>10</v>
      </c>
      <c r="D10" s="13">
        <v>751359816</v>
      </c>
    </row>
    <row r="11" spans="1:4" x14ac:dyDescent="0.3">
      <c r="A11" s="13" t="s">
        <v>78</v>
      </c>
      <c r="B11" s="1" t="s">
        <v>77</v>
      </c>
      <c r="C11" s="13" t="s">
        <v>79</v>
      </c>
      <c r="D11" s="13">
        <v>718499353</v>
      </c>
    </row>
    <row r="12" spans="1:4" x14ac:dyDescent="0.3">
      <c r="A12" s="13" t="s">
        <v>46</v>
      </c>
      <c r="B12" s="1" t="s">
        <v>14</v>
      </c>
      <c r="C12" s="13" t="s">
        <v>47</v>
      </c>
      <c r="D12" s="13">
        <v>715449990</v>
      </c>
    </row>
    <row r="13" spans="1:4" x14ac:dyDescent="0.3">
      <c r="A13" s="13" t="s">
        <v>15</v>
      </c>
      <c r="B13" s="1" t="s">
        <v>14</v>
      </c>
      <c r="C13" s="13" t="s">
        <v>16</v>
      </c>
      <c r="D13" s="13">
        <v>759230890</v>
      </c>
    </row>
    <row r="14" spans="1:4" x14ac:dyDescent="0.3">
      <c r="A14" s="13" t="s">
        <v>96</v>
      </c>
      <c r="B14" s="1" t="s">
        <v>95</v>
      </c>
      <c r="C14" s="13" t="s">
        <v>97</v>
      </c>
      <c r="D14" s="13">
        <v>785539726</v>
      </c>
    </row>
    <row r="15" spans="1:4" x14ac:dyDescent="0.3">
      <c r="A15" s="13" t="s">
        <v>73</v>
      </c>
      <c r="B15" s="1" t="s">
        <v>72</v>
      </c>
      <c r="C15" s="13" t="s">
        <v>74</v>
      </c>
      <c r="D15" s="13">
        <v>741559187</v>
      </c>
    </row>
    <row r="16" spans="1:4" x14ac:dyDescent="0.3">
      <c r="A16" s="13" t="s">
        <v>30</v>
      </c>
      <c r="B16" s="1" t="s">
        <v>29</v>
      </c>
      <c r="C16" s="13" t="s">
        <v>31</v>
      </c>
      <c r="D16" s="13">
        <v>789892705</v>
      </c>
    </row>
    <row r="17" spans="1:4" x14ac:dyDescent="0.3">
      <c r="A17" s="13" t="s">
        <v>81</v>
      </c>
      <c r="B17" s="1" t="s">
        <v>80</v>
      </c>
      <c r="C17" s="13" t="s">
        <v>82</v>
      </c>
      <c r="D17" s="13">
        <v>719911980</v>
      </c>
    </row>
    <row r="18" spans="1:4" x14ac:dyDescent="0.3">
      <c r="A18" s="13" t="s">
        <v>99</v>
      </c>
      <c r="B18" s="1" t="s">
        <v>98</v>
      </c>
      <c r="C18" s="13" t="s">
        <v>100</v>
      </c>
      <c r="D18" s="13">
        <v>722383002</v>
      </c>
    </row>
    <row r="19" spans="1:4" x14ac:dyDescent="0.3">
      <c r="A19" s="13" t="s">
        <v>21</v>
      </c>
      <c r="B19" s="1" t="s">
        <v>20</v>
      </c>
      <c r="C19" s="13" t="s">
        <v>22</v>
      </c>
      <c r="D19" s="13">
        <v>738996460</v>
      </c>
    </row>
    <row r="20" spans="1:4" x14ac:dyDescent="0.3">
      <c r="A20" s="13" t="s">
        <v>41</v>
      </c>
      <c r="B20" s="1" t="s">
        <v>40</v>
      </c>
      <c r="C20" s="13" t="s">
        <v>42</v>
      </c>
      <c r="D20" s="13">
        <v>789966863</v>
      </c>
    </row>
    <row r="21" spans="1:4" x14ac:dyDescent="0.3">
      <c r="A21" s="13" t="s">
        <v>12</v>
      </c>
      <c r="B21" s="1" t="s">
        <v>11</v>
      </c>
      <c r="C21" s="13" t="s">
        <v>13</v>
      </c>
      <c r="D21" s="13">
        <v>786412000</v>
      </c>
    </row>
    <row r="22" spans="1:4" x14ac:dyDescent="0.3">
      <c r="A22" s="13" t="s">
        <v>93</v>
      </c>
      <c r="B22" s="1" t="s">
        <v>92</v>
      </c>
      <c r="C22" s="13" t="s">
        <v>94</v>
      </c>
      <c r="D22" s="13">
        <v>735359112</v>
      </c>
    </row>
    <row r="23" spans="1:4" x14ac:dyDescent="0.3">
      <c r="A23" s="13" t="s">
        <v>58</v>
      </c>
      <c r="B23" s="1" t="s">
        <v>57</v>
      </c>
      <c r="C23" s="13" t="s">
        <v>59</v>
      </c>
      <c r="D23" s="13">
        <v>716640607</v>
      </c>
    </row>
    <row r="24" spans="1:4" x14ac:dyDescent="0.3">
      <c r="A24" s="13" t="s">
        <v>64</v>
      </c>
      <c r="B24" s="1" t="s">
        <v>63</v>
      </c>
      <c r="C24" s="13" t="s">
        <v>65</v>
      </c>
      <c r="D24" s="13">
        <v>742980686</v>
      </c>
    </row>
    <row r="25" spans="1:4" x14ac:dyDescent="0.3">
      <c r="A25" s="13" t="s">
        <v>38</v>
      </c>
      <c r="B25" s="1" t="s">
        <v>26</v>
      </c>
      <c r="C25" s="13" t="s">
        <v>39</v>
      </c>
      <c r="D25" s="13">
        <v>744544880</v>
      </c>
    </row>
    <row r="26" spans="1:4" x14ac:dyDescent="0.3">
      <c r="A26" s="13" t="s">
        <v>61</v>
      </c>
      <c r="B26" s="1" t="s">
        <v>60</v>
      </c>
      <c r="C26" s="13" t="s">
        <v>62</v>
      </c>
      <c r="D26" s="13">
        <v>746517334</v>
      </c>
    </row>
    <row r="27" spans="1:4" x14ac:dyDescent="0.3">
      <c r="A27" s="13" t="s">
        <v>90</v>
      </c>
      <c r="B27" s="1" t="s">
        <v>89</v>
      </c>
      <c r="C27" s="13" t="s">
        <v>91</v>
      </c>
      <c r="D27" s="13">
        <v>729150039</v>
      </c>
    </row>
    <row r="28" spans="1:4" x14ac:dyDescent="0.3">
      <c r="A28" s="13" t="s">
        <v>55</v>
      </c>
      <c r="B28" s="1" t="s">
        <v>54</v>
      </c>
      <c r="C28" s="13" t="s">
        <v>56</v>
      </c>
      <c r="D28" s="13">
        <v>798679130</v>
      </c>
    </row>
    <row r="29" spans="1:4" x14ac:dyDescent="0.3">
      <c r="A29" s="13" t="s">
        <v>6</v>
      </c>
      <c r="B29" s="1" t="s">
        <v>5</v>
      </c>
      <c r="C29" s="13" t="s">
        <v>7</v>
      </c>
      <c r="D29" s="13">
        <v>747202055</v>
      </c>
    </row>
    <row r="30" spans="1:4" x14ac:dyDescent="0.3">
      <c r="A30" s="13" t="s">
        <v>75</v>
      </c>
      <c r="B30" s="1" t="s">
        <v>14</v>
      </c>
      <c r="C30" s="13" t="s">
        <v>76</v>
      </c>
      <c r="D30" s="13">
        <v>743136984</v>
      </c>
    </row>
    <row r="31" spans="1:4" x14ac:dyDescent="0.3">
      <c r="A31" s="13" t="s">
        <v>49</v>
      </c>
      <c r="B31" s="1" t="s">
        <v>48</v>
      </c>
      <c r="C31" s="13" t="s">
        <v>50</v>
      </c>
      <c r="D31" s="13">
        <v>796537526</v>
      </c>
    </row>
    <row r="32" spans="1:4" x14ac:dyDescent="0.3">
      <c r="A32" s="13" t="s">
        <v>70</v>
      </c>
      <c r="B32" s="1" t="s">
        <v>69</v>
      </c>
      <c r="C32" s="13" t="s">
        <v>71</v>
      </c>
      <c r="D32" s="13">
        <v>729952633</v>
      </c>
    </row>
    <row r="33" spans="1:4" x14ac:dyDescent="0.3">
      <c r="A33" s="13" t="s">
        <v>3</v>
      </c>
      <c r="B33" s="1" t="s">
        <v>2</v>
      </c>
      <c r="C33" s="13" t="s">
        <v>4</v>
      </c>
      <c r="D33" s="13">
        <v>770978456</v>
      </c>
    </row>
    <row r="34" spans="1:4" x14ac:dyDescent="0.3">
      <c r="A34" s="13" t="s">
        <v>44</v>
      </c>
      <c r="B34" s="1" t="s">
        <v>43</v>
      </c>
      <c r="C34" s="13" t="s">
        <v>45</v>
      </c>
      <c r="D34" s="13">
        <v>768200782</v>
      </c>
    </row>
    <row r="35" spans="1:4" x14ac:dyDescent="0.3">
      <c r="A35" s="13" t="s">
        <v>27</v>
      </c>
      <c r="B35" s="1" t="s">
        <v>26</v>
      </c>
      <c r="C35" s="13" t="s">
        <v>28</v>
      </c>
      <c r="D35" s="13">
        <v>783715569</v>
      </c>
    </row>
  </sheetData>
  <sortState ref="A2:D35">
    <sortCondition ref="A2"/>
  </sortState>
  <pageMargins left="0.7" right="0.7" top="0.75" bottom="0.75" header="0.3" footer="0.3"/>
  <pageSetup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360"/>
  <sheetViews>
    <sheetView tabSelected="1" workbookViewId="0">
      <selection activeCell="G3" sqref="G3"/>
    </sheetView>
  </sheetViews>
  <sheetFormatPr defaultRowHeight="14.4" x14ac:dyDescent="0.3"/>
  <cols>
    <col min="1" max="1" width="16.5546875" style="10" bestFit="1" customWidth="1"/>
    <col min="2" max="2" width="9.33203125" style="10" bestFit="1" customWidth="1"/>
    <col min="3" max="3" width="11" style="19" bestFit="1" customWidth="1"/>
    <col min="4" max="4" width="18.109375" style="19" bestFit="1" customWidth="1"/>
    <col min="5" max="5" width="18.21875" style="10" bestFit="1" customWidth="1"/>
    <col min="6" max="6" width="38.109375" style="10" bestFit="1" customWidth="1"/>
    <col min="7" max="7" width="19.77734375" style="10" bestFit="1" customWidth="1"/>
    <col min="8" max="8" width="12.33203125" style="17" bestFit="1" customWidth="1"/>
    <col min="9" max="9" width="9.109375" bestFit="1" customWidth="1"/>
  </cols>
  <sheetData>
    <row r="1" spans="1:9" x14ac:dyDescent="0.3">
      <c r="A1" s="26" t="s">
        <v>146</v>
      </c>
      <c r="B1" s="26" t="s">
        <v>147</v>
      </c>
      <c r="C1" s="26" t="s">
        <v>148</v>
      </c>
      <c r="D1" s="26" t="s">
        <v>192</v>
      </c>
      <c r="E1" s="27" t="s">
        <v>171</v>
      </c>
      <c r="F1" s="26" t="s">
        <v>163</v>
      </c>
      <c r="G1" s="26" t="s">
        <v>164</v>
      </c>
      <c r="H1" s="28" t="s">
        <v>162</v>
      </c>
      <c r="I1" s="29"/>
    </row>
    <row r="2" spans="1:9" x14ac:dyDescent="0.3">
      <c r="A2" s="22" t="s">
        <v>149</v>
      </c>
      <c r="B2" s="22" t="str">
        <f>IF(A2&lt;&gt;"",VLOOKUP(A2,StaffInfo,2), "")</f>
        <v>M</v>
      </c>
      <c r="C2" s="22" t="str">
        <f>IF(A2&lt;&gt;"",VLOOKUP(A2,StaffInfo,3),"")</f>
        <v>South Street</v>
      </c>
      <c r="D2" s="22" t="s">
        <v>67</v>
      </c>
      <c r="E2" s="30" t="str">
        <f>IF(D2&lt;&gt;"",VLOOKUP(D2,BuyersInfo,2),"")</f>
        <v>JOHNSON</v>
      </c>
      <c r="F2" s="22" t="s">
        <v>139</v>
      </c>
      <c r="G2" s="23">
        <v>42683</v>
      </c>
      <c r="H2" s="37">
        <v>500000</v>
      </c>
      <c r="I2" s="21"/>
    </row>
    <row r="3" spans="1:9" x14ac:dyDescent="0.3">
      <c r="A3" s="22" t="s">
        <v>160</v>
      </c>
      <c r="B3" s="22" t="str">
        <f t="shared" ref="B3:B16" si="0">IF(A3&lt;&gt;"",VLOOKUP(A3,StaffInfo,2), "")</f>
        <v>M</v>
      </c>
      <c r="C3" s="22" t="str">
        <f t="shared" ref="C3:C11" si="1">IF(A3&lt;&gt;"",VLOOKUP(A3,StaffInfo,3),"")</f>
        <v>High Street</v>
      </c>
      <c r="D3" s="22" t="s">
        <v>87</v>
      </c>
      <c r="E3" s="30" t="str">
        <f>IF(D3&lt;&gt;"",VLOOKUP(D3,BuyersInfo,2),"")</f>
        <v>CARPENTER</v>
      </c>
      <c r="F3" s="22" t="s">
        <v>143</v>
      </c>
      <c r="G3" s="23">
        <v>42716</v>
      </c>
      <c r="H3" s="37">
        <v>600000</v>
      </c>
      <c r="I3" s="21"/>
    </row>
    <row r="4" spans="1:9" x14ac:dyDescent="0.3">
      <c r="A4" s="22" t="s">
        <v>156</v>
      </c>
      <c r="B4" s="22" t="str">
        <f t="shared" si="0"/>
        <v>M</v>
      </c>
      <c r="C4" s="22" t="str">
        <f t="shared" si="1"/>
        <v>High Street</v>
      </c>
      <c r="D4" s="22" t="s">
        <v>9</v>
      </c>
      <c r="E4" s="30" t="str">
        <f t="shared" ref="E4:E11" si="2">IF(D4&lt;&gt;"",VLOOKUP(D4,BuyersInfo,2),"")</f>
        <v>ROOSENDAAL</v>
      </c>
      <c r="F4" s="22" t="s">
        <v>141</v>
      </c>
      <c r="G4" s="23">
        <v>42723</v>
      </c>
      <c r="H4" s="37">
        <v>400000</v>
      </c>
      <c r="I4" s="21"/>
    </row>
    <row r="5" spans="1:9" x14ac:dyDescent="0.3">
      <c r="A5" s="22" t="s">
        <v>159</v>
      </c>
      <c r="B5" s="22" t="str">
        <f t="shared" si="0"/>
        <v>F</v>
      </c>
      <c r="C5" s="22" t="str">
        <f t="shared" si="1"/>
        <v>High Street</v>
      </c>
      <c r="D5" s="22" t="s">
        <v>27</v>
      </c>
      <c r="E5" s="30" t="str">
        <f t="shared" si="2"/>
        <v>ALI</v>
      </c>
      <c r="F5" s="22" t="s">
        <v>119</v>
      </c>
      <c r="G5" s="23">
        <v>42740</v>
      </c>
      <c r="H5" s="37">
        <v>450000</v>
      </c>
      <c r="I5" s="21"/>
    </row>
    <row r="6" spans="1:9" x14ac:dyDescent="0.3">
      <c r="A6" s="22" t="s">
        <v>152</v>
      </c>
      <c r="B6" s="22" t="str">
        <f t="shared" si="0"/>
        <v>M</v>
      </c>
      <c r="C6" s="22" t="str">
        <f t="shared" si="1"/>
        <v>South Street</v>
      </c>
      <c r="D6" s="22" t="s">
        <v>36</v>
      </c>
      <c r="E6" s="30" t="str">
        <f t="shared" si="2"/>
        <v>SMITH</v>
      </c>
      <c r="F6" s="22" t="s">
        <v>39</v>
      </c>
      <c r="G6" s="23">
        <v>42745</v>
      </c>
      <c r="H6" s="37">
        <v>530000</v>
      </c>
      <c r="I6" s="21"/>
    </row>
    <row r="7" spans="1:9" x14ac:dyDescent="0.3">
      <c r="A7" s="22" t="s">
        <v>161</v>
      </c>
      <c r="B7" s="22" t="str">
        <f t="shared" si="0"/>
        <v>F</v>
      </c>
      <c r="C7" s="22" t="str">
        <f t="shared" si="1"/>
        <v>South Street</v>
      </c>
      <c r="D7" s="22" t="s">
        <v>3</v>
      </c>
      <c r="E7" s="30" t="str">
        <f t="shared" si="2"/>
        <v>BELATO</v>
      </c>
      <c r="F7" s="22" t="s">
        <v>127</v>
      </c>
      <c r="G7" s="23">
        <v>42755</v>
      </c>
      <c r="H7" s="37">
        <v>630000</v>
      </c>
      <c r="I7" s="21"/>
    </row>
    <row r="8" spans="1:9" x14ac:dyDescent="0.3">
      <c r="A8" s="22" t="s">
        <v>153</v>
      </c>
      <c r="B8" s="22" t="str">
        <f t="shared" si="0"/>
        <v>M</v>
      </c>
      <c r="C8" s="22" t="str">
        <f t="shared" si="1"/>
        <v>High Street</v>
      </c>
      <c r="D8" s="22" t="s">
        <v>90</v>
      </c>
      <c r="E8" s="30" t="str">
        <f t="shared" si="2"/>
        <v>PILSUDSKI</v>
      </c>
      <c r="F8" s="22" t="s">
        <v>121</v>
      </c>
      <c r="G8" s="23">
        <v>42777</v>
      </c>
      <c r="H8" s="37">
        <v>510000</v>
      </c>
      <c r="I8" s="21"/>
    </row>
    <row r="9" spans="1:9" x14ac:dyDescent="0.3">
      <c r="A9" s="22" t="s">
        <v>157</v>
      </c>
      <c r="B9" s="22" t="str">
        <f t="shared" si="0"/>
        <v>M</v>
      </c>
      <c r="C9" s="22" t="str">
        <f t="shared" si="1"/>
        <v>South Street</v>
      </c>
      <c r="D9" s="22" t="s">
        <v>38</v>
      </c>
      <c r="E9" s="30" t="str">
        <f t="shared" si="2"/>
        <v>ALI</v>
      </c>
      <c r="F9" s="22" t="s">
        <v>106</v>
      </c>
      <c r="G9" s="23">
        <v>42808</v>
      </c>
      <c r="H9" s="37">
        <v>420000</v>
      </c>
      <c r="I9" s="21"/>
    </row>
    <row r="10" spans="1:9" x14ac:dyDescent="0.3">
      <c r="A10" s="22" t="s">
        <v>158</v>
      </c>
      <c r="B10" s="22" t="str">
        <f t="shared" si="0"/>
        <v>F</v>
      </c>
      <c r="C10" s="22" t="str">
        <f t="shared" si="1"/>
        <v>South Street</v>
      </c>
      <c r="D10" s="22" t="s">
        <v>93</v>
      </c>
      <c r="E10" s="30" t="str">
        <f t="shared" si="2"/>
        <v>TRIN</v>
      </c>
      <c r="F10" s="22" t="s">
        <v>110</v>
      </c>
      <c r="G10" s="23">
        <v>42816</v>
      </c>
      <c r="H10" s="37">
        <v>750000</v>
      </c>
      <c r="I10" s="21"/>
    </row>
    <row r="11" spans="1:9" x14ac:dyDescent="0.3">
      <c r="A11" s="22" t="s">
        <v>155</v>
      </c>
      <c r="B11" s="22" t="str">
        <f t="shared" si="0"/>
        <v>F</v>
      </c>
      <c r="C11" s="22" t="str">
        <f t="shared" si="1"/>
        <v>High Street</v>
      </c>
      <c r="D11" s="22" t="s">
        <v>73</v>
      </c>
      <c r="E11" s="30" t="str">
        <f t="shared" si="2"/>
        <v>GREEN</v>
      </c>
      <c r="F11" s="22" t="s">
        <v>112</v>
      </c>
      <c r="G11" s="23">
        <v>42826</v>
      </c>
      <c r="H11" s="37">
        <v>800000</v>
      </c>
      <c r="I11" s="21"/>
    </row>
    <row r="12" spans="1:9" x14ac:dyDescent="0.3">
      <c r="A12" s="22" t="s">
        <v>149</v>
      </c>
      <c r="B12" s="22" t="str">
        <f>IF(A12&lt;&gt;"",VLOOKUP(A12,StaffInfo,2), "")</f>
        <v>M</v>
      </c>
      <c r="C12" s="22" t="str">
        <f>IF(A12&lt;&gt;"",VLOOKUP(A12,StaffInfo,3),"")</f>
        <v>South Street</v>
      </c>
      <c r="D12" s="22" t="s">
        <v>24</v>
      </c>
      <c r="E12" s="30" t="str">
        <f>IF(D12&lt;&gt;"",VLOOKUP(D12,BuyersInfo,2),"")</f>
        <v>ROMERO</v>
      </c>
      <c r="F12" s="22" t="s">
        <v>114</v>
      </c>
      <c r="G12" s="23">
        <v>42843</v>
      </c>
      <c r="H12" s="37">
        <v>545000</v>
      </c>
      <c r="I12" s="21"/>
    </row>
    <row r="13" spans="1:9" x14ac:dyDescent="0.3">
      <c r="A13" s="22" t="s">
        <v>149</v>
      </c>
      <c r="B13" s="22" t="str">
        <f t="shared" si="0"/>
        <v>M</v>
      </c>
      <c r="C13" s="22" t="str">
        <f>IF(A13&lt;&gt;"",VLOOKUP(A13,StaffInfo,3),"")</f>
        <v>South Street</v>
      </c>
      <c r="D13" s="22" t="s">
        <v>18</v>
      </c>
      <c r="E13" s="30" t="str">
        <f>IF(D13&lt;&gt;"",VLOOKUP(D13,BuyersInfo,2),"")</f>
        <v>SAMUELS</v>
      </c>
      <c r="F13" s="22" t="s">
        <v>129</v>
      </c>
      <c r="G13" s="23">
        <v>42846</v>
      </c>
      <c r="H13" s="37">
        <v>670000</v>
      </c>
      <c r="I13" s="21"/>
    </row>
    <row r="14" spans="1:9" x14ac:dyDescent="0.3">
      <c r="A14" s="22" t="s">
        <v>160</v>
      </c>
      <c r="B14" s="22" t="str">
        <f t="shared" si="0"/>
        <v>M</v>
      </c>
      <c r="C14" s="22" t="str">
        <f>IF(A14&lt;&gt;"",VLOOKUP(A14,StaffInfo,3),"")</f>
        <v>High Street</v>
      </c>
      <c r="D14" s="22" t="s">
        <v>96</v>
      </c>
      <c r="E14" s="30" t="str">
        <f>IF(D14&lt;&gt;"",VLOOKUP(D14,BuyersInfo,2),"")</f>
        <v>GOK</v>
      </c>
      <c r="F14" s="22" t="s">
        <v>145</v>
      </c>
      <c r="G14" s="23">
        <v>42870</v>
      </c>
      <c r="H14" s="37">
        <v>570000</v>
      </c>
      <c r="I14" s="21"/>
    </row>
    <row r="15" spans="1:9" x14ac:dyDescent="0.3">
      <c r="A15" s="22" t="s">
        <v>161</v>
      </c>
      <c r="B15" s="22" t="str">
        <f t="shared" si="0"/>
        <v>F</v>
      </c>
      <c r="C15" s="22" t="str">
        <f>IF(A15&lt;&gt;"",VLOOKUP(A15,StaffInfo,3),"")</f>
        <v>South Street</v>
      </c>
      <c r="D15" s="22" t="s">
        <v>44</v>
      </c>
      <c r="E15" s="30" t="str">
        <f>IF(D15&lt;&gt;"",VLOOKUP(D15,BuyersInfo,2),"")</f>
        <v>PATEL</v>
      </c>
      <c r="F15" s="22" t="s">
        <v>137</v>
      </c>
      <c r="G15" s="23">
        <v>42880</v>
      </c>
      <c r="H15" s="37">
        <v>890000</v>
      </c>
      <c r="I15" s="21"/>
    </row>
    <row r="16" spans="1:9" x14ac:dyDescent="0.3">
      <c r="A16" s="22" t="s">
        <v>155</v>
      </c>
      <c r="B16" s="22" t="str">
        <f t="shared" si="0"/>
        <v>F</v>
      </c>
      <c r="C16" s="22" t="str">
        <f>IF(A16&lt;&gt;"",VLOOKUP(A16,StaffInfo,3),"")</f>
        <v>High Street</v>
      </c>
      <c r="D16" s="22" t="s">
        <v>30</v>
      </c>
      <c r="E16" s="30" t="str">
        <f>IF(D16&lt;&gt;"",VLOOKUP(D16,BuyersInfo,2),"")</f>
        <v>AHMED</v>
      </c>
      <c r="F16" s="22" t="s">
        <v>133</v>
      </c>
      <c r="G16" s="23">
        <v>42882</v>
      </c>
      <c r="H16" s="37">
        <v>900000</v>
      </c>
      <c r="I16" s="21"/>
    </row>
    <row r="17" spans="1:9" x14ac:dyDescent="0.3">
      <c r="A17" s="22"/>
      <c r="B17" s="22"/>
      <c r="C17" s="22"/>
      <c r="D17" s="22"/>
      <c r="E17" s="30"/>
      <c r="F17" s="22"/>
      <c r="G17" s="23"/>
      <c r="H17" s="31"/>
      <c r="I17" s="21"/>
    </row>
    <row r="18" spans="1:9" x14ac:dyDescent="0.3">
      <c r="A18" s="22"/>
      <c r="B18" s="22"/>
      <c r="C18" s="22"/>
      <c r="D18" s="22"/>
      <c r="E18" s="30"/>
      <c r="F18" s="22"/>
      <c r="G18" s="23"/>
      <c r="H18" s="31"/>
      <c r="I18" s="21"/>
    </row>
    <row r="19" spans="1:9" x14ac:dyDescent="0.3">
      <c r="A19" s="22"/>
      <c r="B19" s="22"/>
      <c r="C19" s="22"/>
      <c r="D19" s="22"/>
      <c r="E19" s="30"/>
      <c r="F19" s="22"/>
      <c r="G19" s="23"/>
      <c r="H19" s="31"/>
      <c r="I19" s="21"/>
    </row>
    <row r="20" spans="1:9" x14ac:dyDescent="0.3">
      <c r="A20" s="22"/>
      <c r="B20" s="22"/>
      <c r="C20" s="22"/>
      <c r="D20" s="22"/>
      <c r="E20" s="30"/>
      <c r="F20" s="22"/>
      <c r="G20" s="23"/>
      <c r="H20" s="31"/>
      <c r="I20" s="21"/>
    </row>
    <row r="21" spans="1:9" x14ac:dyDescent="0.3">
      <c r="A21" s="22"/>
      <c r="B21" s="22"/>
      <c r="C21" s="22"/>
      <c r="D21" s="22"/>
      <c r="E21" s="30"/>
      <c r="F21" s="22"/>
      <c r="G21" s="23"/>
      <c r="H21" s="31"/>
      <c r="I21" s="21"/>
    </row>
    <row r="22" spans="1:9" x14ac:dyDescent="0.3">
      <c r="A22" s="22"/>
      <c r="B22" s="22"/>
      <c r="C22" s="22"/>
      <c r="D22" s="22"/>
      <c r="E22" s="30"/>
      <c r="F22" s="22"/>
      <c r="G22" s="23"/>
      <c r="H22" s="31"/>
      <c r="I22" s="21"/>
    </row>
    <row r="23" spans="1:9" x14ac:dyDescent="0.3">
      <c r="A23" s="22"/>
      <c r="B23" s="22"/>
      <c r="C23" s="22"/>
      <c r="D23" s="22"/>
      <c r="E23" s="30"/>
      <c r="F23" s="22"/>
      <c r="G23" s="23"/>
      <c r="H23" s="31"/>
      <c r="I23" s="21"/>
    </row>
    <row r="24" spans="1:9" x14ac:dyDescent="0.3">
      <c r="B24" s="20"/>
      <c r="C24" s="20"/>
      <c r="D24" s="20"/>
      <c r="E24" s="36"/>
      <c r="F24" s="20"/>
      <c r="G24" s="9"/>
      <c r="H24" s="16"/>
      <c r="I24" s="21"/>
    </row>
    <row r="25" spans="1:9" x14ac:dyDescent="0.3">
      <c r="B25" s="20"/>
      <c r="C25" s="20"/>
      <c r="D25" s="20"/>
      <c r="E25" s="36"/>
      <c r="F25" s="20"/>
      <c r="G25" s="9"/>
      <c r="H25" s="16"/>
      <c r="I25" s="21"/>
    </row>
    <row r="26" spans="1:9" x14ac:dyDescent="0.3">
      <c r="B26" s="20"/>
      <c r="C26" s="20"/>
      <c r="D26" s="20"/>
      <c r="E26" s="36"/>
      <c r="F26" s="20"/>
      <c r="G26" s="9"/>
      <c r="H26" s="16"/>
      <c r="I26" s="21"/>
    </row>
    <row r="27" spans="1:9" x14ac:dyDescent="0.3">
      <c r="B27" s="20"/>
      <c r="C27" s="20"/>
      <c r="D27" s="20"/>
      <c r="E27" s="36"/>
      <c r="F27" s="20"/>
      <c r="G27" s="9"/>
      <c r="H27" s="16"/>
    </row>
    <row r="28" spans="1:9" x14ac:dyDescent="0.3">
      <c r="B28" s="20"/>
      <c r="C28" s="20"/>
      <c r="D28" s="20"/>
      <c r="E28" s="36"/>
      <c r="F28" s="20"/>
      <c r="G28" s="9"/>
      <c r="H28" s="16"/>
    </row>
    <row r="29" spans="1:9" x14ac:dyDescent="0.3">
      <c r="B29" s="20"/>
      <c r="C29" s="20"/>
      <c r="D29" s="20"/>
      <c r="E29" s="36"/>
      <c r="F29" s="20"/>
      <c r="G29" s="9"/>
      <c r="H29" s="16"/>
    </row>
    <row r="30" spans="1:9" x14ac:dyDescent="0.3">
      <c r="B30" s="20"/>
      <c r="C30" s="20"/>
      <c r="D30" s="20"/>
      <c r="E30" s="36"/>
      <c r="F30" s="20"/>
      <c r="G30" s="9"/>
      <c r="H30" s="16"/>
    </row>
    <row r="31" spans="1:9" x14ac:dyDescent="0.3">
      <c r="B31" s="20"/>
      <c r="C31" s="20"/>
      <c r="D31" s="20"/>
      <c r="E31" s="36"/>
      <c r="F31" s="20"/>
      <c r="G31" s="9"/>
      <c r="H31" s="16"/>
    </row>
    <row r="32" spans="1:9" x14ac:dyDescent="0.3">
      <c r="B32" s="20"/>
      <c r="C32" s="20"/>
      <c r="D32" s="20"/>
      <c r="E32" s="36"/>
      <c r="F32" s="20"/>
      <c r="G32" s="9"/>
      <c r="H32" s="16"/>
    </row>
    <row r="33" spans="2:8" x14ac:dyDescent="0.3">
      <c r="B33" s="20"/>
      <c r="C33" s="20"/>
      <c r="D33" s="20"/>
      <c r="E33" s="36"/>
      <c r="F33" s="20"/>
      <c r="G33" s="9"/>
      <c r="H33" s="16"/>
    </row>
    <row r="34" spans="2:8" x14ac:dyDescent="0.3">
      <c r="B34" s="20"/>
      <c r="C34" s="20"/>
      <c r="D34" s="20"/>
      <c r="E34" s="36"/>
      <c r="F34" s="20"/>
    </row>
    <row r="35" spans="2:8" x14ac:dyDescent="0.3">
      <c r="B35" s="20"/>
      <c r="C35" s="20"/>
      <c r="D35" s="20"/>
      <c r="E35" s="36"/>
      <c r="F35" s="20"/>
    </row>
    <row r="36" spans="2:8" x14ac:dyDescent="0.3">
      <c r="B36" s="20"/>
      <c r="C36" s="20"/>
      <c r="D36" s="20"/>
      <c r="E36" s="36"/>
      <c r="F36" s="20"/>
    </row>
    <row r="37" spans="2:8" x14ac:dyDescent="0.3">
      <c r="B37" s="20"/>
      <c r="C37" s="20"/>
      <c r="D37" s="20"/>
      <c r="E37" s="36"/>
      <c r="F37" s="20"/>
    </row>
    <row r="38" spans="2:8" x14ac:dyDescent="0.3">
      <c r="B38" s="20"/>
      <c r="C38" s="20"/>
      <c r="D38" s="20"/>
      <c r="E38" s="36"/>
      <c r="F38" s="20"/>
    </row>
    <row r="39" spans="2:8" x14ac:dyDescent="0.3">
      <c r="B39" s="20"/>
      <c r="C39" s="20"/>
      <c r="D39" s="20"/>
      <c r="E39" s="36"/>
      <c r="F39" s="20"/>
    </row>
    <row r="40" spans="2:8" x14ac:dyDescent="0.3">
      <c r="B40" s="20"/>
      <c r="C40" s="20"/>
      <c r="D40" s="20"/>
      <c r="E40" s="36"/>
      <c r="F40" s="20"/>
    </row>
    <row r="41" spans="2:8" x14ac:dyDescent="0.3">
      <c r="B41" s="20"/>
      <c r="C41" s="20"/>
      <c r="D41" s="20"/>
      <c r="E41" s="36"/>
      <c r="F41" s="20"/>
    </row>
    <row r="42" spans="2:8" x14ac:dyDescent="0.3">
      <c r="B42" s="20"/>
      <c r="C42" s="20"/>
      <c r="D42" s="20"/>
      <c r="E42" s="36"/>
      <c r="F42" s="20"/>
    </row>
    <row r="43" spans="2:8" x14ac:dyDescent="0.3">
      <c r="B43" s="20"/>
      <c r="C43" s="20"/>
      <c r="D43" s="20"/>
      <c r="E43" s="36"/>
      <c r="F43" s="20"/>
    </row>
    <row r="44" spans="2:8" x14ac:dyDescent="0.3">
      <c r="B44" s="20"/>
      <c r="C44" s="20"/>
      <c r="D44" s="20"/>
      <c r="E44" s="36"/>
      <c r="F44" s="20"/>
    </row>
    <row r="45" spans="2:8" x14ac:dyDescent="0.3">
      <c r="B45" s="20"/>
      <c r="C45" s="20"/>
      <c r="D45" s="20"/>
      <c r="E45" s="36"/>
      <c r="F45" s="20"/>
    </row>
    <row r="46" spans="2:8" x14ac:dyDescent="0.3">
      <c r="B46" s="20"/>
      <c r="C46" s="20"/>
      <c r="D46" s="20"/>
      <c r="E46" s="36"/>
      <c r="F46" s="20"/>
    </row>
    <row r="47" spans="2:8" x14ac:dyDescent="0.3">
      <c r="B47" s="20"/>
      <c r="C47" s="20"/>
      <c r="D47" s="20"/>
      <c r="E47" s="36"/>
      <c r="F47" s="20"/>
    </row>
    <row r="48" spans="2:8" x14ac:dyDescent="0.3">
      <c r="B48" s="20"/>
      <c r="C48" s="20"/>
      <c r="D48" s="10"/>
      <c r="E48" s="36"/>
      <c r="F48" s="20"/>
    </row>
    <row r="49" spans="2:6" x14ac:dyDescent="0.3">
      <c r="B49" s="20"/>
      <c r="C49" s="20"/>
      <c r="D49" s="10"/>
      <c r="E49" s="36"/>
      <c r="F49" s="20"/>
    </row>
    <row r="50" spans="2:6" x14ac:dyDescent="0.3">
      <c r="B50" s="20"/>
      <c r="C50" s="20"/>
      <c r="D50" s="10"/>
      <c r="E50" s="36"/>
      <c r="F50" s="20"/>
    </row>
    <row r="51" spans="2:6" x14ac:dyDescent="0.3">
      <c r="B51" s="20"/>
      <c r="C51" s="20"/>
      <c r="D51" s="10"/>
      <c r="E51" s="36"/>
      <c r="F51" s="20"/>
    </row>
    <row r="52" spans="2:6" x14ac:dyDescent="0.3">
      <c r="B52" s="20"/>
      <c r="C52" s="20"/>
      <c r="D52" s="10"/>
      <c r="E52" s="36"/>
      <c r="F52" s="20"/>
    </row>
    <row r="53" spans="2:6" x14ac:dyDescent="0.3">
      <c r="B53" s="20"/>
      <c r="C53" s="20"/>
      <c r="D53" s="10"/>
      <c r="E53" s="36"/>
      <c r="F53" s="20"/>
    </row>
    <row r="54" spans="2:6" x14ac:dyDescent="0.3">
      <c r="B54" s="20"/>
      <c r="C54" s="20"/>
      <c r="D54" s="10"/>
      <c r="E54" s="36"/>
      <c r="F54" s="20"/>
    </row>
    <row r="55" spans="2:6" x14ac:dyDescent="0.3">
      <c r="B55" s="20"/>
      <c r="C55" s="20"/>
      <c r="D55" s="10"/>
      <c r="E55" s="36"/>
      <c r="F55" s="20"/>
    </row>
    <row r="56" spans="2:6" x14ac:dyDescent="0.3">
      <c r="B56" s="20"/>
      <c r="C56" s="20"/>
      <c r="D56" s="10"/>
      <c r="E56" s="36"/>
      <c r="F56" s="20"/>
    </row>
    <row r="57" spans="2:6" x14ac:dyDescent="0.3">
      <c r="B57" s="20"/>
      <c r="C57" s="20"/>
      <c r="D57" s="10"/>
      <c r="E57" s="36"/>
      <c r="F57" s="20"/>
    </row>
    <row r="58" spans="2:6" x14ac:dyDescent="0.3">
      <c r="B58" s="20"/>
      <c r="C58" s="20"/>
      <c r="D58" s="10"/>
      <c r="E58" s="36"/>
      <c r="F58" s="20"/>
    </row>
    <row r="59" spans="2:6" x14ac:dyDescent="0.3">
      <c r="B59" s="20"/>
      <c r="C59" s="20"/>
      <c r="D59" s="10"/>
      <c r="E59" s="36"/>
      <c r="F59" s="20"/>
    </row>
    <row r="60" spans="2:6" x14ac:dyDescent="0.3">
      <c r="B60" s="20"/>
      <c r="C60" s="20"/>
      <c r="D60" s="10"/>
      <c r="E60" s="36"/>
      <c r="F60" s="20"/>
    </row>
    <row r="61" spans="2:6" x14ac:dyDescent="0.3">
      <c r="B61" s="20"/>
      <c r="C61" s="20"/>
      <c r="D61" s="10"/>
      <c r="E61" s="36"/>
      <c r="F61" s="20"/>
    </row>
    <row r="62" spans="2:6" x14ac:dyDescent="0.3">
      <c r="B62" s="20"/>
      <c r="C62" s="20"/>
      <c r="D62" s="10"/>
      <c r="E62" s="36"/>
      <c r="F62" s="20"/>
    </row>
    <row r="63" spans="2:6" x14ac:dyDescent="0.3">
      <c r="B63" s="20"/>
      <c r="C63" s="20"/>
      <c r="D63" s="10"/>
      <c r="E63" s="36"/>
      <c r="F63" s="20"/>
    </row>
    <row r="64" spans="2:6" x14ac:dyDescent="0.3">
      <c r="B64" s="20"/>
      <c r="C64" s="20"/>
      <c r="D64" s="10"/>
      <c r="E64" s="36"/>
      <c r="F64" s="20"/>
    </row>
    <row r="65" spans="2:6" x14ac:dyDescent="0.3">
      <c r="B65" s="20"/>
      <c r="C65" s="20"/>
      <c r="D65" s="10"/>
      <c r="E65" s="36"/>
      <c r="F65" s="20"/>
    </row>
    <row r="66" spans="2:6" x14ac:dyDescent="0.3">
      <c r="B66" s="20"/>
      <c r="C66" s="20"/>
      <c r="D66" s="10"/>
      <c r="E66" s="36"/>
      <c r="F66" s="20"/>
    </row>
    <row r="67" spans="2:6" x14ac:dyDescent="0.3">
      <c r="B67" s="20"/>
      <c r="C67" s="20"/>
      <c r="D67" s="10"/>
      <c r="E67" s="36"/>
      <c r="F67" s="20"/>
    </row>
    <row r="68" spans="2:6" x14ac:dyDescent="0.3">
      <c r="C68" s="20"/>
      <c r="D68" s="10"/>
      <c r="E68" s="36"/>
      <c r="F68" s="20"/>
    </row>
    <row r="69" spans="2:6" x14ac:dyDescent="0.3">
      <c r="C69" s="20"/>
      <c r="D69" s="10"/>
      <c r="E69" s="36"/>
      <c r="F69" s="20"/>
    </row>
    <row r="70" spans="2:6" x14ac:dyDescent="0.3">
      <c r="C70" s="20"/>
      <c r="D70" s="10"/>
      <c r="E70" s="36"/>
      <c r="F70" s="20"/>
    </row>
    <row r="71" spans="2:6" x14ac:dyDescent="0.3">
      <c r="C71" s="20"/>
      <c r="D71" s="10"/>
      <c r="E71" s="36"/>
      <c r="F71" s="20"/>
    </row>
    <row r="72" spans="2:6" x14ac:dyDescent="0.3">
      <c r="C72" s="20"/>
      <c r="D72" s="10"/>
      <c r="E72" s="36"/>
      <c r="F72" s="20"/>
    </row>
    <row r="73" spans="2:6" x14ac:dyDescent="0.3">
      <c r="C73" s="20"/>
      <c r="D73" s="10"/>
      <c r="E73" s="36"/>
      <c r="F73" s="20"/>
    </row>
    <row r="74" spans="2:6" x14ac:dyDescent="0.3">
      <c r="C74" s="20"/>
      <c r="D74" s="10"/>
      <c r="E74" s="36"/>
      <c r="F74" s="20"/>
    </row>
    <row r="75" spans="2:6" x14ac:dyDescent="0.3">
      <c r="C75" s="20"/>
      <c r="D75" s="10"/>
      <c r="E75" s="36"/>
      <c r="F75" s="20"/>
    </row>
    <row r="76" spans="2:6" x14ac:dyDescent="0.3">
      <c r="C76" s="20"/>
      <c r="D76" s="10"/>
      <c r="E76" s="36"/>
      <c r="F76" s="20"/>
    </row>
    <row r="77" spans="2:6" x14ac:dyDescent="0.3">
      <c r="C77" s="20"/>
      <c r="D77" s="10"/>
      <c r="E77" s="36"/>
      <c r="F77" s="20"/>
    </row>
    <row r="78" spans="2:6" x14ac:dyDescent="0.3">
      <c r="C78" s="20"/>
      <c r="D78" s="10"/>
      <c r="E78" s="36"/>
      <c r="F78" s="20"/>
    </row>
    <row r="79" spans="2:6" x14ac:dyDescent="0.3">
      <c r="C79" s="20"/>
      <c r="D79" s="10"/>
      <c r="E79" s="36"/>
      <c r="F79" s="20"/>
    </row>
    <row r="80" spans="2:6" x14ac:dyDescent="0.3">
      <c r="C80" s="20"/>
      <c r="D80" s="10"/>
      <c r="E80" s="36"/>
      <c r="F80" s="20"/>
    </row>
    <row r="81" spans="3:6" x14ac:dyDescent="0.3">
      <c r="C81" s="20" t="str">
        <f t="shared" ref="C81:C109" si="3">IF(A81&lt;&gt;"",VLOOKUP(A81,Staff,3),"")</f>
        <v/>
      </c>
      <c r="D81" s="10"/>
      <c r="E81" s="36" t="str">
        <f t="shared" ref="E81:E87" si="4">IF(D81&lt;&gt;"",VLOOKUP(D81,Buyers,2),"")</f>
        <v/>
      </c>
      <c r="F81" s="20" t="str">
        <f t="shared" ref="F81:F141" si="5">IF(D81&lt;&gt;"",VLOOKUP(D81,Buyers,3),"")</f>
        <v/>
      </c>
    </row>
    <row r="82" spans="3:6" x14ac:dyDescent="0.3">
      <c r="C82" s="20" t="str">
        <f t="shared" si="3"/>
        <v/>
      </c>
      <c r="D82" s="10"/>
      <c r="E82" s="36" t="str">
        <f t="shared" si="4"/>
        <v/>
      </c>
      <c r="F82" s="20" t="str">
        <f t="shared" si="5"/>
        <v/>
      </c>
    </row>
    <row r="83" spans="3:6" x14ac:dyDescent="0.3">
      <c r="C83" s="20" t="str">
        <f t="shared" si="3"/>
        <v/>
      </c>
      <c r="D83" s="10"/>
      <c r="E83" s="36" t="str">
        <f t="shared" si="4"/>
        <v/>
      </c>
      <c r="F83" s="20" t="str">
        <f t="shared" si="5"/>
        <v/>
      </c>
    </row>
    <row r="84" spans="3:6" x14ac:dyDescent="0.3">
      <c r="C84" s="20" t="str">
        <f t="shared" si="3"/>
        <v/>
      </c>
      <c r="D84" s="10"/>
      <c r="E84" s="36" t="str">
        <f t="shared" si="4"/>
        <v/>
      </c>
      <c r="F84" s="20" t="str">
        <f t="shared" si="5"/>
        <v/>
      </c>
    </row>
    <row r="85" spans="3:6" x14ac:dyDescent="0.3">
      <c r="C85" s="20" t="str">
        <f t="shared" si="3"/>
        <v/>
      </c>
      <c r="D85" s="10"/>
      <c r="E85" s="36" t="str">
        <f t="shared" si="4"/>
        <v/>
      </c>
      <c r="F85" s="20" t="str">
        <f t="shared" si="5"/>
        <v/>
      </c>
    </row>
    <row r="86" spans="3:6" x14ac:dyDescent="0.3">
      <c r="C86" s="20" t="str">
        <f t="shared" si="3"/>
        <v/>
      </c>
      <c r="D86" s="10"/>
      <c r="E86" s="36" t="str">
        <f t="shared" si="4"/>
        <v/>
      </c>
      <c r="F86" s="20" t="str">
        <f t="shared" si="5"/>
        <v/>
      </c>
    </row>
    <row r="87" spans="3:6" x14ac:dyDescent="0.3">
      <c r="C87" s="20" t="str">
        <f t="shared" si="3"/>
        <v/>
      </c>
      <c r="D87" s="10"/>
      <c r="E87" s="36" t="str">
        <f t="shared" si="4"/>
        <v/>
      </c>
      <c r="F87" s="20" t="str">
        <f t="shared" si="5"/>
        <v/>
      </c>
    </row>
    <row r="88" spans="3:6" x14ac:dyDescent="0.3">
      <c r="C88" s="20" t="str">
        <f t="shared" si="3"/>
        <v/>
      </c>
      <c r="D88" s="10"/>
      <c r="F88" s="20" t="str">
        <f t="shared" si="5"/>
        <v/>
      </c>
    </row>
    <row r="89" spans="3:6" x14ac:dyDescent="0.3">
      <c r="C89" s="20" t="str">
        <f t="shared" si="3"/>
        <v/>
      </c>
      <c r="D89" s="10"/>
      <c r="F89" s="20" t="str">
        <f t="shared" si="5"/>
        <v/>
      </c>
    </row>
    <row r="90" spans="3:6" x14ac:dyDescent="0.3">
      <c r="C90" s="20" t="str">
        <f t="shared" si="3"/>
        <v/>
      </c>
      <c r="D90" s="10"/>
      <c r="F90" s="20" t="str">
        <f t="shared" si="5"/>
        <v/>
      </c>
    </row>
    <row r="91" spans="3:6" x14ac:dyDescent="0.3">
      <c r="C91" s="20" t="str">
        <f t="shared" si="3"/>
        <v/>
      </c>
      <c r="D91" s="10"/>
      <c r="F91" s="20" t="str">
        <f t="shared" si="5"/>
        <v/>
      </c>
    </row>
    <row r="92" spans="3:6" x14ac:dyDescent="0.3">
      <c r="C92" s="20" t="str">
        <f t="shared" si="3"/>
        <v/>
      </c>
      <c r="D92" s="10"/>
      <c r="F92" s="20" t="str">
        <f t="shared" si="5"/>
        <v/>
      </c>
    </row>
    <row r="93" spans="3:6" x14ac:dyDescent="0.3">
      <c r="C93" s="20" t="str">
        <f t="shared" si="3"/>
        <v/>
      </c>
      <c r="D93" s="10"/>
      <c r="F93" s="20" t="str">
        <f t="shared" si="5"/>
        <v/>
      </c>
    </row>
    <row r="94" spans="3:6" x14ac:dyDescent="0.3">
      <c r="C94" s="20" t="str">
        <f t="shared" si="3"/>
        <v/>
      </c>
      <c r="D94" s="10"/>
      <c r="F94" s="20" t="str">
        <f t="shared" si="5"/>
        <v/>
      </c>
    </row>
    <row r="95" spans="3:6" x14ac:dyDescent="0.3">
      <c r="C95" s="20" t="str">
        <f t="shared" si="3"/>
        <v/>
      </c>
      <c r="D95" s="10"/>
      <c r="F95" s="20" t="str">
        <f t="shared" si="5"/>
        <v/>
      </c>
    </row>
    <row r="96" spans="3:6" x14ac:dyDescent="0.3">
      <c r="C96" s="20" t="str">
        <f t="shared" si="3"/>
        <v/>
      </c>
      <c r="D96" s="10"/>
      <c r="F96" s="20" t="str">
        <f t="shared" si="5"/>
        <v/>
      </c>
    </row>
    <row r="97" spans="3:6" x14ac:dyDescent="0.3">
      <c r="C97" s="20" t="str">
        <f t="shared" si="3"/>
        <v/>
      </c>
      <c r="D97" s="10"/>
      <c r="F97" s="20" t="str">
        <f t="shared" si="5"/>
        <v/>
      </c>
    </row>
    <row r="98" spans="3:6" x14ac:dyDescent="0.3">
      <c r="C98" s="20" t="str">
        <f t="shared" si="3"/>
        <v/>
      </c>
      <c r="D98" s="10"/>
      <c r="F98" s="20" t="str">
        <f t="shared" si="5"/>
        <v/>
      </c>
    </row>
    <row r="99" spans="3:6" x14ac:dyDescent="0.3">
      <c r="C99" s="20" t="str">
        <f t="shared" si="3"/>
        <v/>
      </c>
      <c r="D99" s="10"/>
      <c r="F99" s="20" t="str">
        <f t="shared" si="5"/>
        <v/>
      </c>
    </row>
    <row r="100" spans="3:6" x14ac:dyDescent="0.3">
      <c r="C100" s="20" t="str">
        <f t="shared" si="3"/>
        <v/>
      </c>
      <c r="D100" s="10"/>
      <c r="F100" s="20" t="str">
        <f t="shared" si="5"/>
        <v/>
      </c>
    </row>
    <row r="101" spans="3:6" x14ac:dyDescent="0.3">
      <c r="C101" s="20" t="str">
        <f t="shared" si="3"/>
        <v/>
      </c>
      <c r="D101" s="10"/>
      <c r="F101" s="20" t="str">
        <f t="shared" si="5"/>
        <v/>
      </c>
    </row>
    <row r="102" spans="3:6" x14ac:dyDescent="0.3">
      <c r="C102" s="20" t="str">
        <f t="shared" si="3"/>
        <v/>
      </c>
      <c r="D102" s="10"/>
      <c r="F102" s="20" t="str">
        <f t="shared" si="5"/>
        <v/>
      </c>
    </row>
    <row r="103" spans="3:6" x14ac:dyDescent="0.3">
      <c r="C103" s="20" t="str">
        <f t="shared" si="3"/>
        <v/>
      </c>
      <c r="D103" s="10"/>
      <c r="F103" s="20" t="str">
        <f t="shared" si="5"/>
        <v/>
      </c>
    </row>
    <row r="104" spans="3:6" x14ac:dyDescent="0.3">
      <c r="C104" s="20" t="str">
        <f t="shared" si="3"/>
        <v/>
      </c>
      <c r="D104" s="10"/>
      <c r="F104" s="20" t="str">
        <f t="shared" si="5"/>
        <v/>
      </c>
    </row>
    <row r="105" spans="3:6" x14ac:dyDescent="0.3">
      <c r="C105" s="20" t="str">
        <f t="shared" si="3"/>
        <v/>
      </c>
      <c r="D105" s="10"/>
      <c r="F105" s="20" t="str">
        <f t="shared" si="5"/>
        <v/>
      </c>
    </row>
    <row r="106" spans="3:6" x14ac:dyDescent="0.3">
      <c r="C106" s="20" t="str">
        <f t="shared" si="3"/>
        <v/>
      </c>
      <c r="D106" s="10"/>
      <c r="F106" s="20" t="str">
        <f t="shared" si="5"/>
        <v/>
      </c>
    </row>
    <row r="107" spans="3:6" x14ac:dyDescent="0.3">
      <c r="C107" s="20" t="str">
        <f t="shared" si="3"/>
        <v/>
      </c>
      <c r="D107" s="10"/>
      <c r="F107" s="20" t="str">
        <f t="shared" si="5"/>
        <v/>
      </c>
    </row>
    <row r="108" spans="3:6" x14ac:dyDescent="0.3">
      <c r="C108" s="20" t="str">
        <f t="shared" si="3"/>
        <v/>
      </c>
      <c r="D108" s="10"/>
      <c r="F108" s="20" t="str">
        <f t="shared" si="5"/>
        <v/>
      </c>
    </row>
    <row r="109" spans="3:6" x14ac:dyDescent="0.3">
      <c r="C109" s="20" t="str">
        <f t="shared" si="3"/>
        <v/>
      </c>
      <c r="D109" s="10"/>
      <c r="F109" s="20" t="str">
        <f t="shared" si="5"/>
        <v/>
      </c>
    </row>
    <row r="110" spans="3:6" x14ac:dyDescent="0.3">
      <c r="C110" s="20" t="str">
        <f t="shared" ref="C110:C141" si="6">IF(A110&lt;&gt;"",VLOOKUP(A110,Staff,3),"")</f>
        <v/>
      </c>
      <c r="D110" s="10"/>
      <c r="F110" s="20" t="str">
        <f t="shared" si="5"/>
        <v/>
      </c>
    </row>
    <row r="111" spans="3:6" x14ac:dyDescent="0.3">
      <c r="C111" s="20" t="str">
        <f t="shared" si="6"/>
        <v/>
      </c>
      <c r="D111" s="10"/>
      <c r="F111" s="20" t="str">
        <f t="shared" si="5"/>
        <v/>
      </c>
    </row>
    <row r="112" spans="3:6" x14ac:dyDescent="0.3">
      <c r="C112" s="20" t="str">
        <f t="shared" si="6"/>
        <v/>
      </c>
      <c r="D112" s="10"/>
      <c r="F112" s="20" t="str">
        <f t="shared" si="5"/>
        <v/>
      </c>
    </row>
    <row r="113" spans="3:6" x14ac:dyDescent="0.3">
      <c r="C113" s="20" t="str">
        <f t="shared" si="6"/>
        <v/>
      </c>
      <c r="D113" s="10"/>
      <c r="F113" s="20" t="str">
        <f t="shared" si="5"/>
        <v/>
      </c>
    </row>
    <row r="114" spans="3:6" x14ac:dyDescent="0.3">
      <c r="C114" s="20" t="str">
        <f t="shared" si="6"/>
        <v/>
      </c>
      <c r="D114" s="10"/>
      <c r="F114" s="20" t="str">
        <f t="shared" si="5"/>
        <v/>
      </c>
    </row>
    <row r="115" spans="3:6" x14ac:dyDescent="0.3">
      <c r="C115" s="20" t="str">
        <f t="shared" si="6"/>
        <v/>
      </c>
      <c r="D115" s="10"/>
      <c r="F115" s="20" t="str">
        <f t="shared" si="5"/>
        <v/>
      </c>
    </row>
    <row r="116" spans="3:6" x14ac:dyDescent="0.3">
      <c r="C116" s="20" t="str">
        <f t="shared" si="6"/>
        <v/>
      </c>
      <c r="D116" s="10"/>
      <c r="F116" s="20" t="str">
        <f t="shared" si="5"/>
        <v/>
      </c>
    </row>
    <row r="117" spans="3:6" x14ac:dyDescent="0.3">
      <c r="C117" s="20" t="str">
        <f t="shared" si="6"/>
        <v/>
      </c>
      <c r="D117" s="10"/>
      <c r="F117" s="20" t="str">
        <f t="shared" si="5"/>
        <v/>
      </c>
    </row>
    <row r="118" spans="3:6" x14ac:dyDescent="0.3">
      <c r="C118" s="20" t="str">
        <f t="shared" si="6"/>
        <v/>
      </c>
      <c r="D118" s="10"/>
      <c r="F118" s="20" t="str">
        <f t="shared" si="5"/>
        <v/>
      </c>
    </row>
    <row r="119" spans="3:6" x14ac:dyDescent="0.3">
      <c r="C119" s="20" t="str">
        <f t="shared" si="6"/>
        <v/>
      </c>
      <c r="D119" s="10"/>
      <c r="F119" s="20" t="str">
        <f t="shared" si="5"/>
        <v/>
      </c>
    </row>
    <row r="120" spans="3:6" x14ac:dyDescent="0.3">
      <c r="C120" s="20" t="str">
        <f t="shared" si="6"/>
        <v/>
      </c>
      <c r="D120" s="10"/>
      <c r="F120" s="20" t="str">
        <f t="shared" si="5"/>
        <v/>
      </c>
    </row>
    <row r="121" spans="3:6" x14ac:dyDescent="0.3">
      <c r="C121" s="20" t="str">
        <f t="shared" si="6"/>
        <v/>
      </c>
      <c r="D121" s="10"/>
      <c r="F121" s="20" t="str">
        <f t="shared" si="5"/>
        <v/>
      </c>
    </row>
    <row r="122" spans="3:6" x14ac:dyDescent="0.3">
      <c r="C122" s="20" t="str">
        <f t="shared" si="6"/>
        <v/>
      </c>
      <c r="D122" s="10"/>
      <c r="F122" s="20" t="str">
        <f t="shared" si="5"/>
        <v/>
      </c>
    </row>
    <row r="123" spans="3:6" x14ac:dyDescent="0.3">
      <c r="C123" s="20" t="str">
        <f t="shared" si="6"/>
        <v/>
      </c>
      <c r="D123" s="10"/>
      <c r="F123" s="20" t="str">
        <f t="shared" si="5"/>
        <v/>
      </c>
    </row>
    <row r="124" spans="3:6" x14ac:dyDescent="0.3">
      <c r="C124" s="20" t="str">
        <f t="shared" si="6"/>
        <v/>
      </c>
      <c r="D124" s="10"/>
      <c r="F124" s="20" t="str">
        <f t="shared" si="5"/>
        <v/>
      </c>
    </row>
    <row r="125" spans="3:6" x14ac:dyDescent="0.3">
      <c r="C125" s="20" t="str">
        <f t="shared" si="6"/>
        <v/>
      </c>
      <c r="D125" s="10"/>
      <c r="F125" s="20" t="str">
        <f t="shared" si="5"/>
        <v/>
      </c>
    </row>
    <row r="126" spans="3:6" x14ac:dyDescent="0.3">
      <c r="C126" s="20" t="str">
        <f t="shared" si="6"/>
        <v/>
      </c>
      <c r="D126" s="10"/>
      <c r="F126" s="20" t="str">
        <f t="shared" si="5"/>
        <v/>
      </c>
    </row>
    <row r="127" spans="3:6" x14ac:dyDescent="0.3">
      <c r="C127" s="20" t="str">
        <f t="shared" si="6"/>
        <v/>
      </c>
      <c r="D127" s="10"/>
      <c r="F127" s="20" t="str">
        <f t="shared" si="5"/>
        <v/>
      </c>
    </row>
    <row r="128" spans="3:6" x14ac:dyDescent="0.3">
      <c r="C128" s="20" t="str">
        <f t="shared" si="6"/>
        <v/>
      </c>
      <c r="D128" s="10"/>
      <c r="F128" s="20" t="str">
        <f t="shared" si="5"/>
        <v/>
      </c>
    </row>
    <row r="129" spans="3:6" x14ac:dyDescent="0.3">
      <c r="C129" s="20" t="str">
        <f t="shared" si="6"/>
        <v/>
      </c>
      <c r="D129" s="10"/>
      <c r="F129" s="20" t="str">
        <f t="shared" si="5"/>
        <v/>
      </c>
    </row>
    <row r="130" spans="3:6" x14ac:dyDescent="0.3">
      <c r="C130" s="20" t="str">
        <f t="shared" si="6"/>
        <v/>
      </c>
      <c r="D130" s="10"/>
      <c r="F130" s="20" t="str">
        <f t="shared" si="5"/>
        <v/>
      </c>
    </row>
    <row r="131" spans="3:6" x14ac:dyDescent="0.3">
      <c r="C131" s="20" t="str">
        <f t="shared" si="6"/>
        <v/>
      </c>
      <c r="D131" s="10"/>
      <c r="F131" s="20" t="str">
        <f t="shared" si="5"/>
        <v/>
      </c>
    </row>
    <row r="132" spans="3:6" x14ac:dyDescent="0.3">
      <c r="C132" s="20" t="str">
        <f t="shared" si="6"/>
        <v/>
      </c>
      <c r="D132" s="10"/>
      <c r="F132" s="20" t="str">
        <f t="shared" si="5"/>
        <v/>
      </c>
    </row>
    <row r="133" spans="3:6" x14ac:dyDescent="0.3">
      <c r="C133" s="20" t="str">
        <f t="shared" si="6"/>
        <v/>
      </c>
      <c r="D133" s="10"/>
      <c r="F133" s="20" t="str">
        <f t="shared" si="5"/>
        <v/>
      </c>
    </row>
    <row r="134" spans="3:6" x14ac:dyDescent="0.3">
      <c r="C134" s="20" t="str">
        <f t="shared" si="6"/>
        <v/>
      </c>
      <c r="D134" s="10"/>
      <c r="F134" s="20" t="str">
        <f t="shared" si="5"/>
        <v/>
      </c>
    </row>
    <row r="135" spans="3:6" x14ac:dyDescent="0.3">
      <c r="C135" s="20" t="str">
        <f t="shared" si="6"/>
        <v/>
      </c>
      <c r="D135" s="10"/>
      <c r="F135" s="20" t="str">
        <f t="shared" si="5"/>
        <v/>
      </c>
    </row>
    <row r="136" spans="3:6" x14ac:dyDescent="0.3">
      <c r="C136" s="20" t="str">
        <f t="shared" si="6"/>
        <v/>
      </c>
      <c r="D136" s="10"/>
      <c r="F136" s="20" t="str">
        <f t="shared" si="5"/>
        <v/>
      </c>
    </row>
    <row r="137" spans="3:6" x14ac:dyDescent="0.3">
      <c r="C137" s="20" t="str">
        <f t="shared" si="6"/>
        <v/>
      </c>
      <c r="D137" s="10"/>
      <c r="F137" s="20" t="str">
        <f t="shared" si="5"/>
        <v/>
      </c>
    </row>
    <row r="138" spans="3:6" x14ac:dyDescent="0.3">
      <c r="C138" s="20" t="str">
        <f t="shared" si="6"/>
        <v/>
      </c>
      <c r="D138" s="10"/>
      <c r="F138" s="20" t="str">
        <f t="shared" si="5"/>
        <v/>
      </c>
    </row>
    <row r="139" spans="3:6" x14ac:dyDescent="0.3">
      <c r="C139" s="20" t="str">
        <f t="shared" si="6"/>
        <v/>
      </c>
      <c r="D139" s="10"/>
      <c r="F139" s="20" t="str">
        <f t="shared" si="5"/>
        <v/>
      </c>
    </row>
    <row r="140" spans="3:6" x14ac:dyDescent="0.3">
      <c r="C140" s="20" t="str">
        <f t="shared" si="6"/>
        <v/>
      </c>
      <c r="D140" s="10"/>
      <c r="F140" s="20" t="str">
        <f t="shared" si="5"/>
        <v/>
      </c>
    </row>
    <row r="141" spans="3:6" x14ac:dyDescent="0.3">
      <c r="C141" s="20" t="str">
        <f t="shared" si="6"/>
        <v/>
      </c>
      <c r="D141" s="10"/>
      <c r="F141" s="20" t="str">
        <f t="shared" si="5"/>
        <v/>
      </c>
    </row>
    <row r="142" spans="3:6" x14ac:dyDescent="0.3">
      <c r="C142" s="20" t="str">
        <f t="shared" ref="C142:C173" si="7">IF(A142&lt;&gt;"",VLOOKUP(A142,Staff,3),"")</f>
        <v/>
      </c>
      <c r="D142" s="10"/>
      <c r="F142" s="20" t="str">
        <f t="shared" ref="F142:F205" si="8">IF(D142&lt;&gt;"",VLOOKUP(D142,Buyers,3),"")</f>
        <v/>
      </c>
    </row>
    <row r="143" spans="3:6" x14ac:dyDescent="0.3">
      <c r="C143" s="20" t="str">
        <f t="shared" si="7"/>
        <v/>
      </c>
      <c r="D143" s="10"/>
      <c r="F143" s="20" t="str">
        <f t="shared" si="8"/>
        <v/>
      </c>
    </row>
    <row r="144" spans="3:6" x14ac:dyDescent="0.3">
      <c r="C144" s="20" t="str">
        <f t="shared" si="7"/>
        <v/>
      </c>
      <c r="D144" s="10"/>
      <c r="F144" s="20" t="str">
        <f t="shared" si="8"/>
        <v/>
      </c>
    </row>
    <row r="145" spans="3:6" x14ac:dyDescent="0.3">
      <c r="C145" s="18" t="str">
        <f t="shared" si="7"/>
        <v/>
      </c>
      <c r="F145" s="8" t="str">
        <f t="shared" si="8"/>
        <v/>
      </c>
    </row>
    <row r="146" spans="3:6" x14ac:dyDescent="0.3">
      <c r="C146" s="18" t="str">
        <f t="shared" si="7"/>
        <v/>
      </c>
      <c r="F146" s="8" t="str">
        <f t="shared" si="8"/>
        <v/>
      </c>
    </row>
    <row r="147" spans="3:6" x14ac:dyDescent="0.3">
      <c r="C147" s="18" t="str">
        <f t="shared" si="7"/>
        <v/>
      </c>
      <c r="F147" s="8" t="str">
        <f t="shared" si="8"/>
        <v/>
      </c>
    </row>
    <row r="148" spans="3:6" x14ac:dyDescent="0.3">
      <c r="C148" s="18" t="str">
        <f t="shared" si="7"/>
        <v/>
      </c>
      <c r="F148" s="8" t="str">
        <f t="shared" si="8"/>
        <v/>
      </c>
    </row>
    <row r="149" spans="3:6" x14ac:dyDescent="0.3">
      <c r="C149" s="18" t="str">
        <f t="shared" si="7"/>
        <v/>
      </c>
      <c r="F149" s="8" t="str">
        <f t="shared" si="8"/>
        <v/>
      </c>
    </row>
    <row r="150" spans="3:6" x14ac:dyDescent="0.3">
      <c r="C150" s="18" t="str">
        <f t="shared" si="7"/>
        <v/>
      </c>
      <c r="F150" s="8" t="str">
        <f t="shared" si="8"/>
        <v/>
      </c>
    </row>
    <row r="151" spans="3:6" x14ac:dyDescent="0.3">
      <c r="C151" s="18" t="str">
        <f t="shared" si="7"/>
        <v/>
      </c>
      <c r="F151" s="8" t="str">
        <f t="shared" si="8"/>
        <v/>
      </c>
    </row>
    <row r="152" spans="3:6" x14ac:dyDescent="0.3">
      <c r="C152" s="18" t="str">
        <f t="shared" si="7"/>
        <v/>
      </c>
      <c r="F152" s="8" t="str">
        <f t="shared" si="8"/>
        <v/>
      </c>
    </row>
    <row r="153" spans="3:6" x14ac:dyDescent="0.3">
      <c r="C153" s="18" t="str">
        <f t="shared" si="7"/>
        <v/>
      </c>
      <c r="F153" s="8" t="str">
        <f t="shared" si="8"/>
        <v/>
      </c>
    </row>
    <row r="154" spans="3:6" x14ac:dyDescent="0.3">
      <c r="C154" s="18" t="str">
        <f t="shared" si="7"/>
        <v/>
      </c>
      <c r="F154" s="8" t="str">
        <f t="shared" si="8"/>
        <v/>
      </c>
    </row>
    <row r="155" spans="3:6" x14ac:dyDescent="0.3">
      <c r="C155" s="18" t="str">
        <f t="shared" si="7"/>
        <v/>
      </c>
      <c r="F155" s="8" t="str">
        <f t="shared" si="8"/>
        <v/>
      </c>
    </row>
    <row r="156" spans="3:6" x14ac:dyDescent="0.3">
      <c r="C156" s="18" t="str">
        <f t="shared" si="7"/>
        <v/>
      </c>
      <c r="F156" s="8" t="str">
        <f t="shared" si="8"/>
        <v/>
      </c>
    </row>
    <row r="157" spans="3:6" x14ac:dyDescent="0.3">
      <c r="C157" s="18" t="str">
        <f t="shared" si="7"/>
        <v/>
      </c>
      <c r="F157" s="8" t="str">
        <f t="shared" si="8"/>
        <v/>
      </c>
    </row>
    <row r="158" spans="3:6" x14ac:dyDescent="0.3">
      <c r="C158" s="18" t="str">
        <f t="shared" si="7"/>
        <v/>
      </c>
      <c r="F158" s="8" t="str">
        <f t="shared" si="8"/>
        <v/>
      </c>
    </row>
    <row r="159" spans="3:6" x14ac:dyDescent="0.3">
      <c r="C159" s="18" t="str">
        <f t="shared" si="7"/>
        <v/>
      </c>
      <c r="F159" s="8" t="str">
        <f t="shared" si="8"/>
        <v/>
      </c>
    </row>
    <row r="160" spans="3:6" x14ac:dyDescent="0.3">
      <c r="C160" s="18" t="str">
        <f t="shared" si="7"/>
        <v/>
      </c>
      <c r="F160" s="8" t="str">
        <f t="shared" si="8"/>
        <v/>
      </c>
    </row>
    <row r="161" spans="3:6" x14ac:dyDescent="0.3">
      <c r="C161" s="18" t="str">
        <f t="shared" si="7"/>
        <v/>
      </c>
      <c r="F161" s="8" t="str">
        <f t="shared" si="8"/>
        <v/>
      </c>
    </row>
    <row r="162" spans="3:6" x14ac:dyDescent="0.3">
      <c r="C162" s="18" t="str">
        <f t="shared" si="7"/>
        <v/>
      </c>
      <c r="F162" s="8" t="str">
        <f t="shared" si="8"/>
        <v/>
      </c>
    </row>
    <row r="163" spans="3:6" x14ac:dyDescent="0.3">
      <c r="C163" s="18" t="str">
        <f t="shared" si="7"/>
        <v/>
      </c>
      <c r="F163" s="8" t="str">
        <f t="shared" si="8"/>
        <v/>
      </c>
    </row>
    <row r="164" spans="3:6" x14ac:dyDescent="0.3">
      <c r="C164" s="18" t="str">
        <f t="shared" si="7"/>
        <v/>
      </c>
      <c r="F164" s="8" t="str">
        <f t="shared" si="8"/>
        <v/>
      </c>
    </row>
    <row r="165" spans="3:6" x14ac:dyDescent="0.3">
      <c r="C165" s="18" t="str">
        <f t="shared" si="7"/>
        <v/>
      </c>
      <c r="F165" s="8" t="str">
        <f t="shared" si="8"/>
        <v/>
      </c>
    </row>
    <row r="166" spans="3:6" x14ac:dyDescent="0.3">
      <c r="C166" s="18" t="str">
        <f t="shared" si="7"/>
        <v/>
      </c>
      <c r="F166" s="8" t="str">
        <f t="shared" si="8"/>
        <v/>
      </c>
    </row>
    <row r="167" spans="3:6" x14ac:dyDescent="0.3">
      <c r="C167" s="18" t="str">
        <f t="shared" si="7"/>
        <v/>
      </c>
      <c r="F167" s="8" t="str">
        <f t="shared" si="8"/>
        <v/>
      </c>
    </row>
    <row r="168" spans="3:6" x14ac:dyDescent="0.3">
      <c r="C168" s="18" t="str">
        <f t="shared" si="7"/>
        <v/>
      </c>
      <c r="F168" s="8" t="str">
        <f t="shared" si="8"/>
        <v/>
      </c>
    </row>
    <row r="169" spans="3:6" x14ac:dyDescent="0.3">
      <c r="C169" s="18" t="str">
        <f t="shared" si="7"/>
        <v/>
      </c>
      <c r="F169" s="8" t="str">
        <f t="shared" si="8"/>
        <v/>
      </c>
    </row>
    <row r="170" spans="3:6" x14ac:dyDescent="0.3">
      <c r="C170" s="18" t="str">
        <f t="shared" si="7"/>
        <v/>
      </c>
      <c r="F170" s="8" t="str">
        <f t="shared" si="8"/>
        <v/>
      </c>
    </row>
    <row r="171" spans="3:6" x14ac:dyDescent="0.3">
      <c r="C171" s="18" t="str">
        <f t="shared" si="7"/>
        <v/>
      </c>
      <c r="F171" s="8" t="str">
        <f t="shared" si="8"/>
        <v/>
      </c>
    </row>
    <row r="172" spans="3:6" x14ac:dyDescent="0.3">
      <c r="C172" s="18" t="str">
        <f t="shared" si="7"/>
        <v/>
      </c>
      <c r="F172" s="8" t="str">
        <f t="shared" si="8"/>
        <v/>
      </c>
    </row>
    <row r="173" spans="3:6" x14ac:dyDescent="0.3">
      <c r="C173" s="18" t="str">
        <f t="shared" si="7"/>
        <v/>
      </c>
      <c r="F173" s="8" t="str">
        <f t="shared" si="8"/>
        <v/>
      </c>
    </row>
    <row r="174" spans="3:6" x14ac:dyDescent="0.3">
      <c r="C174" s="18" t="str">
        <f t="shared" ref="C174:C188" si="9">IF(A174&lt;&gt;"",VLOOKUP(A174,Staff,3),"")</f>
        <v/>
      </c>
      <c r="F174" s="8" t="str">
        <f t="shared" si="8"/>
        <v/>
      </c>
    </row>
    <row r="175" spans="3:6" x14ac:dyDescent="0.3">
      <c r="C175" s="18" t="str">
        <f t="shared" si="9"/>
        <v/>
      </c>
      <c r="F175" s="8" t="str">
        <f t="shared" si="8"/>
        <v/>
      </c>
    </row>
    <row r="176" spans="3:6" x14ac:dyDescent="0.3">
      <c r="C176" s="18" t="str">
        <f t="shared" si="9"/>
        <v/>
      </c>
      <c r="F176" s="8" t="str">
        <f t="shared" si="8"/>
        <v/>
      </c>
    </row>
    <row r="177" spans="3:6" x14ac:dyDescent="0.3">
      <c r="C177" s="18" t="str">
        <f t="shared" si="9"/>
        <v/>
      </c>
      <c r="F177" s="8" t="str">
        <f t="shared" si="8"/>
        <v/>
      </c>
    </row>
    <row r="178" spans="3:6" x14ac:dyDescent="0.3">
      <c r="C178" s="18" t="str">
        <f t="shared" si="9"/>
        <v/>
      </c>
      <c r="F178" s="8" t="str">
        <f t="shared" si="8"/>
        <v/>
      </c>
    </row>
    <row r="179" spans="3:6" x14ac:dyDescent="0.3">
      <c r="C179" s="18" t="str">
        <f t="shared" si="9"/>
        <v/>
      </c>
      <c r="F179" s="8" t="str">
        <f t="shared" si="8"/>
        <v/>
      </c>
    </row>
    <row r="180" spans="3:6" x14ac:dyDescent="0.3">
      <c r="C180" s="18" t="str">
        <f t="shared" si="9"/>
        <v/>
      </c>
      <c r="F180" s="8" t="str">
        <f t="shared" si="8"/>
        <v/>
      </c>
    </row>
    <row r="181" spans="3:6" x14ac:dyDescent="0.3">
      <c r="C181" s="18" t="str">
        <f t="shared" si="9"/>
        <v/>
      </c>
      <c r="F181" s="8" t="str">
        <f t="shared" si="8"/>
        <v/>
      </c>
    </row>
    <row r="182" spans="3:6" x14ac:dyDescent="0.3">
      <c r="C182" s="18" t="str">
        <f t="shared" si="9"/>
        <v/>
      </c>
      <c r="F182" s="8" t="str">
        <f t="shared" si="8"/>
        <v/>
      </c>
    </row>
    <row r="183" spans="3:6" x14ac:dyDescent="0.3">
      <c r="C183" s="18" t="str">
        <f t="shared" si="9"/>
        <v/>
      </c>
      <c r="F183" s="8" t="str">
        <f t="shared" si="8"/>
        <v/>
      </c>
    </row>
    <row r="184" spans="3:6" x14ac:dyDescent="0.3">
      <c r="C184" s="18" t="str">
        <f t="shared" si="9"/>
        <v/>
      </c>
      <c r="F184" s="8" t="str">
        <f t="shared" si="8"/>
        <v/>
      </c>
    </row>
    <row r="185" spans="3:6" x14ac:dyDescent="0.3">
      <c r="C185" s="18" t="str">
        <f t="shared" si="9"/>
        <v/>
      </c>
      <c r="F185" s="8" t="str">
        <f t="shared" si="8"/>
        <v/>
      </c>
    </row>
    <row r="186" spans="3:6" x14ac:dyDescent="0.3">
      <c r="C186" s="18" t="str">
        <f t="shared" si="9"/>
        <v/>
      </c>
      <c r="F186" s="8" t="str">
        <f t="shared" si="8"/>
        <v/>
      </c>
    </row>
    <row r="187" spans="3:6" x14ac:dyDescent="0.3">
      <c r="C187" s="18" t="str">
        <f t="shared" si="9"/>
        <v/>
      </c>
      <c r="F187" s="8" t="str">
        <f t="shared" si="8"/>
        <v/>
      </c>
    </row>
    <row r="188" spans="3:6" x14ac:dyDescent="0.3">
      <c r="C188" s="18" t="str">
        <f t="shared" si="9"/>
        <v/>
      </c>
      <c r="F188" s="8" t="str">
        <f t="shared" si="8"/>
        <v/>
      </c>
    </row>
    <row r="189" spans="3:6" x14ac:dyDescent="0.3">
      <c r="F189" s="8" t="str">
        <f t="shared" si="8"/>
        <v/>
      </c>
    </row>
    <row r="190" spans="3:6" x14ac:dyDescent="0.3">
      <c r="F190" s="8" t="str">
        <f t="shared" si="8"/>
        <v/>
      </c>
    </row>
    <row r="191" spans="3:6" x14ac:dyDescent="0.3">
      <c r="F191" s="8" t="str">
        <f t="shared" si="8"/>
        <v/>
      </c>
    </row>
    <row r="192" spans="3:6" x14ac:dyDescent="0.3">
      <c r="F192" s="8" t="str">
        <f t="shared" si="8"/>
        <v/>
      </c>
    </row>
    <row r="193" spans="6:6" x14ac:dyDescent="0.3">
      <c r="F193" s="8" t="str">
        <f t="shared" si="8"/>
        <v/>
      </c>
    </row>
    <row r="194" spans="6:6" x14ac:dyDescent="0.3">
      <c r="F194" s="8" t="str">
        <f t="shared" si="8"/>
        <v/>
      </c>
    </row>
    <row r="195" spans="6:6" x14ac:dyDescent="0.3">
      <c r="F195" s="8" t="str">
        <f t="shared" si="8"/>
        <v/>
      </c>
    </row>
    <row r="196" spans="6:6" x14ac:dyDescent="0.3">
      <c r="F196" s="8" t="str">
        <f t="shared" si="8"/>
        <v/>
      </c>
    </row>
    <row r="197" spans="6:6" x14ac:dyDescent="0.3">
      <c r="F197" s="8" t="str">
        <f t="shared" si="8"/>
        <v/>
      </c>
    </row>
    <row r="198" spans="6:6" x14ac:dyDescent="0.3">
      <c r="F198" s="8" t="str">
        <f t="shared" si="8"/>
        <v/>
      </c>
    </row>
    <row r="199" spans="6:6" x14ac:dyDescent="0.3">
      <c r="F199" s="8" t="str">
        <f t="shared" si="8"/>
        <v/>
      </c>
    </row>
    <row r="200" spans="6:6" x14ac:dyDescent="0.3">
      <c r="F200" s="8" t="str">
        <f t="shared" si="8"/>
        <v/>
      </c>
    </row>
    <row r="201" spans="6:6" x14ac:dyDescent="0.3">
      <c r="F201" s="8" t="str">
        <f t="shared" si="8"/>
        <v/>
      </c>
    </row>
    <row r="202" spans="6:6" x14ac:dyDescent="0.3">
      <c r="F202" s="8" t="str">
        <f t="shared" si="8"/>
        <v/>
      </c>
    </row>
    <row r="203" spans="6:6" x14ac:dyDescent="0.3">
      <c r="F203" s="8" t="str">
        <f t="shared" si="8"/>
        <v/>
      </c>
    </row>
    <row r="204" spans="6:6" x14ac:dyDescent="0.3">
      <c r="F204" s="8" t="str">
        <f t="shared" si="8"/>
        <v/>
      </c>
    </row>
    <row r="205" spans="6:6" x14ac:dyDescent="0.3">
      <c r="F205" s="8" t="str">
        <f t="shared" si="8"/>
        <v/>
      </c>
    </row>
    <row r="206" spans="6:6" x14ac:dyDescent="0.3">
      <c r="F206" s="8" t="str">
        <f t="shared" ref="F206:F269" si="10">IF(D206&lt;&gt;"",VLOOKUP(D206,Buyers,3),"")</f>
        <v/>
      </c>
    </row>
    <row r="207" spans="6:6" x14ac:dyDescent="0.3">
      <c r="F207" s="8" t="str">
        <f t="shared" si="10"/>
        <v/>
      </c>
    </row>
    <row r="208" spans="6:6" x14ac:dyDescent="0.3">
      <c r="F208" s="8" t="str">
        <f t="shared" si="10"/>
        <v/>
      </c>
    </row>
    <row r="209" spans="6:6" x14ac:dyDescent="0.3">
      <c r="F209" s="8" t="str">
        <f t="shared" si="10"/>
        <v/>
      </c>
    </row>
    <row r="210" spans="6:6" x14ac:dyDescent="0.3">
      <c r="F210" s="8" t="str">
        <f t="shared" si="10"/>
        <v/>
      </c>
    </row>
    <row r="211" spans="6:6" x14ac:dyDescent="0.3">
      <c r="F211" s="8" t="str">
        <f t="shared" si="10"/>
        <v/>
      </c>
    </row>
    <row r="212" spans="6:6" x14ac:dyDescent="0.3">
      <c r="F212" s="8" t="str">
        <f t="shared" si="10"/>
        <v/>
      </c>
    </row>
    <row r="213" spans="6:6" x14ac:dyDescent="0.3">
      <c r="F213" s="8" t="str">
        <f t="shared" si="10"/>
        <v/>
      </c>
    </row>
    <row r="214" spans="6:6" x14ac:dyDescent="0.3">
      <c r="F214" s="8" t="str">
        <f t="shared" si="10"/>
        <v/>
      </c>
    </row>
    <row r="215" spans="6:6" x14ac:dyDescent="0.3">
      <c r="F215" s="8" t="str">
        <f t="shared" si="10"/>
        <v/>
      </c>
    </row>
    <row r="216" spans="6:6" x14ac:dyDescent="0.3">
      <c r="F216" s="8" t="str">
        <f t="shared" si="10"/>
        <v/>
      </c>
    </row>
    <row r="217" spans="6:6" x14ac:dyDescent="0.3">
      <c r="F217" s="8" t="str">
        <f t="shared" si="10"/>
        <v/>
      </c>
    </row>
    <row r="218" spans="6:6" x14ac:dyDescent="0.3">
      <c r="F218" s="8" t="str">
        <f t="shared" si="10"/>
        <v/>
      </c>
    </row>
    <row r="219" spans="6:6" x14ac:dyDescent="0.3">
      <c r="F219" s="8" t="str">
        <f t="shared" si="10"/>
        <v/>
      </c>
    </row>
    <row r="220" spans="6:6" x14ac:dyDescent="0.3">
      <c r="F220" s="8" t="str">
        <f t="shared" si="10"/>
        <v/>
      </c>
    </row>
    <row r="221" spans="6:6" x14ac:dyDescent="0.3">
      <c r="F221" s="8" t="str">
        <f t="shared" si="10"/>
        <v/>
      </c>
    </row>
    <row r="222" spans="6:6" x14ac:dyDescent="0.3">
      <c r="F222" s="8" t="str">
        <f t="shared" si="10"/>
        <v/>
      </c>
    </row>
    <row r="223" spans="6:6" x14ac:dyDescent="0.3">
      <c r="F223" s="8" t="str">
        <f t="shared" si="10"/>
        <v/>
      </c>
    </row>
    <row r="224" spans="6:6" x14ac:dyDescent="0.3">
      <c r="F224" s="8" t="str">
        <f t="shared" si="10"/>
        <v/>
      </c>
    </row>
    <row r="225" spans="6:6" x14ac:dyDescent="0.3">
      <c r="F225" s="8" t="str">
        <f t="shared" si="10"/>
        <v/>
      </c>
    </row>
    <row r="226" spans="6:6" x14ac:dyDescent="0.3">
      <c r="F226" s="8" t="str">
        <f t="shared" si="10"/>
        <v/>
      </c>
    </row>
    <row r="227" spans="6:6" x14ac:dyDescent="0.3">
      <c r="F227" s="8" t="str">
        <f t="shared" si="10"/>
        <v/>
      </c>
    </row>
    <row r="228" spans="6:6" x14ac:dyDescent="0.3">
      <c r="F228" s="8" t="str">
        <f t="shared" si="10"/>
        <v/>
      </c>
    </row>
    <row r="229" spans="6:6" x14ac:dyDescent="0.3">
      <c r="F229" s="8" t="str">
        <f t="shared" si="10"/>
        <v/>
      </c>
    </row>
    <row r="230" spans="6:6" x14ac:dyDescent="0.3">
      <c r="F230" s="8" t="str">
        <f t="shared" si="10"/>
        <v/>
      </c>
    </row>
    <row r="231" spans="6:6" x14ac:dyDescent="0.3">
      <c r="F231" s="8" t="str">
        <f t="shared" si="10"/>
        <v/>
      </c>
    </row>
    <row r="232" spans="6:6" x14ac:dyDescent="0.3">
      <c r="F232" s="8" t="str">
        <f t="shared" si="10"/>
        <v/>
      </c>
    </row>
    <row r="233" spans="6:6" x14ac:dyDescent="0.3">
      <c r="F233" s="8" t="str">
        <f t="shared" si="10"/>
        <v/>
      </c>
    </row>
    <row r="234" spans="6:6" x14ac:dyDescent="0.3">
      <c r="F234" s="8" t="str">
        <f t="shared" si="10"/>
        <v/>
      </c>
    </row>
    <row r="235" spans="6:6" x14ac:dyDescent="0.3">
      <c r="F235" s="8" t="str">
        <f t="shared" si="10"/>
        <v/>
      </c>
    </row>
    <row r="236" spans="6:6" x14ac:dyDescent="0.3">
      <c r="F236" s="8" t="str">
        <f t="shared" si="10"/>
        <v/>
      </c>
    </row>
    <row r="237" spans="6:6" x14ac:dyDescent="0.3">
      <c r="F237" s="8" t="str">
        <f t="shared" si="10"/>
        <v/>
      </c>
    </row>
    <row r="238" spans="6:6" x14ac:dyDescent="0.3">
      <c r="F238" s="8" t="str">
        <f t="shared" si="10"/>
        <v/>
      </c>
    </row>
    <row r="239" spans="6:6" x14ac:dyDescent="0.3">
      <c r="F239" s="8" t="str">
        <f t="shared" si="10"/>
        <v/>
      </c>
    </row>
    <row r="240" spans="6:6" x14ac:dyDescent="0.3">
      <c r="F240" s="8" t="str">
        <f t="shared" si="10"/>
        <v/>
      </c>
    </row>
    <row r="241" spans="6:6" x14ac:dyDescent="0.3">
      <c r="F241" s="8" t="str">
        <f t="shared" si="10"/>
        <v/>
      </c>
    </row>
    <row r="242" spans="6:6" x14ac:dyDescent="0.3">
      <c r="F242" s="8" t="str">
        <f t="shared" si="10"/>
        <v/>
      </c>
    </row>
    <row r="243" spans="6:6" x14ac:dyDescent="0.3">
      <c r="F243" s="8" t="str">
        <f t="shared" si="10"/>
        <v/>
      </c>
    </row>
    <row r="244" spans="6:6" x14ac:dyDescent="0.3">
      <c r="F244" s="8" t="str">
        <f t="shared" si="10"/>
        <v/>
      </c>
    </row>
    <row r="245" spans="6:6" x14ac:dyDescent="0.3">
      <c r="F245" s="8" t="str">
        <f t="shared" si="10"/>
        <v/>
      </c>
    </row>
    <row r="246" spans="6:6" x14ac:dyDescent="0.3">
      <c r="F246" s="8" t="str">
        <f t="shared" si="10"/>
        <v/>
      </c>
    </row>
    <row r="247" spans="6:6" x14ac:dyDescent="0.3">
      <c r="F247" s="8" t="str">
        <f t="shared" si="10"/>
        <v/>
      </c>
    </row>
    <row r="248" spans="6:6" x14ac:dyDescent="0.3">
      <c r="F248" s="8" t="str">
        <f t="shared" si="10"/>
        <v/>
      </c>
    </row>
    <row r="249" spans="6:6" x14ac:dyDescent="0.3">
      <c r="F249" s="8" t="str">
        <f t="shared" si="10"/>
        <v/>
      </c>
    </row>
    <row r="250" spans="6:6" x14ac:dyDescent="0.3">
      <c r="F250" s="8" t="str">
        <f t="shared" si="10"/>
        <v/>
      </c>
    </row>
    <row r="251" spans="6:6" x14ac:dyDescent="0.3">
      <c r="F251" s="8" t="str">
        <f t="shared" si="10"/>
        <v/>
      </c>
    </row>
    <row r="252" spans="6:6" x14ac:dyDescent="0.3">
      <c r="F252" s="8" t="str">
        <f t="shared" si="10"/>
        <v/>
      </c>
    </row>
    <row r="253" spans="6:6" x14ac:dyDescent="0.3">
      <c r="F253" s="8" t="str">
        <f t="shared" si="10"/>
        <v/>
      </c>
    </row>
    <row r="254" spans="6:6" x14ac:dyDescent="0.3">
      <c r="F254" s="8" t="str">
        <f t="shared" si="10"/>
        <v/>
      </c>
    </row>
    <row r="255" spans="6:6" x14ac:dyDescent="0.3">
      <c r="F255" s="8" t="str">
        <f t="shared" si="10"/>
        <v/>
      </c>
    </row>
    <row r="256" spans="6:6" x14ac:dyDescent="0.3">
      <c r="F256" s="8" t="str">
        <f t="shared" si="10"/>
        <v/>
      </c>
    </row>
    <row r="257" spans="6:6" x14ac:dyDescent="0.3">
      <c r="F257" s="8" t="str">
        <f t="shared" si="10"/>
        <v/>
      </c>
    </row>
    <row r="258" spans="6:6" x14ac:dyDescent="0.3">
      <c r="F258" s="8" t="str">
        <f t="shared" si="10"/>
        <v/>
      </c>
    </row>
    <row r="259" spans="6:6" x14ac:dyDescent="0.3">
      <c r="F259" s="8" t="str">
        <f t="shared" si="10"/>
        <v/>
      </c>
    </row>
    <row r="260" spans="6:6" x14ac:dyDescent="0.3">
      <c r="F260" s="8" t="str">
        <f t="shared" si="10"/>
        <v/>
      </c>
    </row>
    <row r="261" spans="6:6" x14ac:dyDescent="0.3">
      <c r="F261" s="8" t="str">
        <f t="shared" si="10"/>
        <v/>
      </c>
    </row>
    <row r="262" spans="6:6" x14ac:dyDescent="0.3">
      <c r="F262" s="8" t="str">
        <f t="shared" si="10"/>
        <v/>
      </c>
    </row>
    <row r="263" spans="6:6" x14ac:dyDescent="0.3">
      <c r="F263" s="8" t="str">
        <f t="shared" si="10"/>
        <v/>
      </c>
    </row>
    <row r="264" spans="6:6" x14ac:dyDescent="0.3">
      <c r="F264" s="8" t="str">
        <f t="shared" si="10"/>
        <v/>
      </c>
    </row>
    <row r="265" spans="6:6" x14ac:dyDescent="0.3">
      <c r="F265" s="8" t="str">
        <f t="shared" si="10"/>
        <v/>
      </c>
    </row>
    <row r="266" spans="6:6" x14ac:dyDescent="0.3">
      <c r="F266" s="8" t="str">
        <f t="shared" si="10"/>
        <v/>
      </c>
    </row>
    <row r="267" spans="6:6" x14ac:dyDescent="0.3">
      <c r="F267" s="8" t="str">
        <f t="shared" si="10"/>
        <v/>
      </c>
    </row>
    <row r="268" spans="6:6" x14ac:dyDescent="0.3">
      <c r="F268" s="8" t="str">
        <f t="shared" si="10"/>
        <v/>
      </c>
    </row>
    <row r="269" spans="6:6" x14ac:dyDescent="0.3">
      <c r="F269" s="8" t="str">
        <f t="shared" si="10"/>
        <v/>
      </c>
    </row>
    <row r="270" spans="6:6" x14ac:dyDescent="0.3">
      <c r="F270" s="8" t="str">
        <f t="shared" ref="F270:F333" si="11">IF(D270&lt;&gt;"",VLOOKUP(D270,Buyers,3),"")</f>
        <v/>
      </c>
    </row>
    <row r="271" spans="6:6" x14ac:dyDescent="0.3">
      <c r="F271" s="8" t="str">
        <f t="shared" si="11"/>
        <v/>
      </c>
    </row>
    <row r="272" spans="6:6" x14ac:dyDescent="0.3">
      <c r="F272" s="8" t="str">
        <f t="shared" si="11"/>
        <v/>
      </c>
    </row>
    <row r="273" spans="6:6" x14ac:dyDescent="0.3">
      <c r="F273" s="8" t="str">
        <f t="shared" si="11"/>
        <v/>
      </c>
    </row>
    <row r="274" spans="6:6" x14ac:dyDescent="0.3">
      <c r="F274" s="8" t="str">
        <f t="shared" si="11"/>
        <v/>
      </c>
    </row>
    <row r="275" spans="6:6" x14ac:dyDescent="0.3">
      <c r="F275" s="8" t="str">
        <f t="shared" si="11"/>
        <v/>
      </c>
    </row>
    <row r="276" spans="6:6" x14ac:dyDescent="0.3">
      <c r="F276" s="8" t="str">
        <f t="shared" si="11"/>
        <v/>
      </c>
    </row>
    <row r="277" spans="6:6" x14ac:dyDescent="0.3">
      <c r="F277" s="8" t="str">
        <f t="shared" si="11"/>
        <v/>
      </c>
    </row>
    <row r="278" spans="6:6" x14ac:dyDescent="0.3">
      <c r="F278" s="8" t="str">
        <f t="shared" si="11"/>
        <v/>
      </c>
    </row>
    <row r="279" spans="6:6" x14ac:dyDescent="0.3">
      <c r="F279" s="8" t="str">
        <f t="shared" si="11"/>
        <v/>
      </c>
    </row>
    <row r="280" spans="6:6" x14ac:dyDescent="0.3">
      <c r="F280" s="8" t="str">
        <f t="shared" si="11"/>
        <v/>
      </c>
    </row>
    <row r="281" spans="6:6" x14ac:dyDescent="0.3">
      <c r="F281" s="8" t="str">
        <f t="shared" si="11"/>
        <v/>
      </c>
    </row>
    <row r="282" spans="6:6" x14ac:dyDescent="0.3">
      <c r="F282" s="8" t="str">
        <f t="shared" si="11"/>
        <v/>
      </c>
    </row>
    <row r="283" spans="6:6" x14ac:dyDescent="0.3">
      <c r="F283" s="8" t="str">
        <f t="shared" si="11"/>
        <v/>
      </c>
    </row>
    <row r="284" spans="6:6" x14ac:dyDescent="0.3">
      <c r="F284" s="8" t="str">
        <f t="shared" si="11"/>
        <v/>
      </c>
    </row>
    <row r="285" spans="6:6" x14ac:dyDescent="0.3">
      <c r="F285" s="8" t="str">
        <f t="shared" si="11"/>
        <v/>
      </c>
    </row>
    <row r="286" spans="6:6" x14ac:dyDescent="0.3">
      <c r="F286" s="8" t="str">
        <f t="shared" si="11"/>
        <v/>
      </c>
    </row>
    <row r="287" spans="6:6" x14ac:dyDescent="0.3">
      <c r="F287" s="8" t="str">
        <f t="shared" si="11"/>
        <v/>
      </c>
    </row>
    <row r="288" spans="6:6" x14ac:dyDescent="0.3">
      <c r="F288" s="8" t="str">
        <f t="shared" si="11"/>
        <v/>
      </c>
    </row>
    <row r="289" spans="6:6" x14ac:dyDescent="0.3">
      <c r="F289" s="8" t="str">
        <f t="shared" si="11"/>
        <v/>
      </c>
    </row>
    <row r="290" spans="6:6" x14ac:dyDescent="0.3">
      <c r="F290" s="8" t="str">
        <f t="shared" si="11"/>
        <v/>
      </c>
    </row>
    <row r="291" spans="6:6" x14ac:dyDescent="0.3">
      <c r="F291" s="8" t="str">
        <f t="shared" si="11"/>
        <v/>
      </c>
    </row>
    <row r="292" spans="6:6" x14ac:dyDescent="0.3">
      <c r="F292" s="8" t="str">
        <f t="shared" si="11"/>
        <v/>
      </c>
    </row>
    <row r="293" spans="6:6" x14ac:dyDescent="0.3">
      <c r="F293" s="8" t="str">
        <f t="shared" si="11"/>
        <v/>
      </c>
    </row>
    <row r="294" spans="6:6" x14ac:dyDescent="0.3">
      <c r="F294" s="8" t="str">
        <f t="shared" si="11"/>
        <v/>
      </c>
    </row>
    <row r="295" spans="6:6" x14ac:dyDescent="0.3">
      <c r="F295" s="8" t="str">
        <f t="shared" si="11"/>
        <v/>
      </c>
    </row>
    <row r="296" spans="6:6" x14ac:dyDescent="0.3">
      <c r="F296" s="8" t="str">
        <f t="shared" si="11"/>
        <v/>
      </c>
    </row>
    <row r="297" spans="6:6" x14ac:dyDescent="0.3">
      <c r="F297" s="8" t="str">
        <f t="shared" si="11"/>
        <v/>
      </c>
    </row>
    <row r="298" spans="6:6" x14ac:dyDescent="0.3">
      <c r="F298" s="8" t="str">
        <f t="shared" si="11"/>
        <v/>
      </c>
    </row>
    <row r="299" spans="6:6" x14ac:dyDescent="0.3">
      <c r="F299" s="8" t="str">
        <f t="shared" si="11"/>
        <v/>
      </c>
    </row>
    <row r="300" spans="6:6" x14ac:dyDescent="0.3">
      <c r="F300" s="8" t="str">
        <f t="shared" si="11"/>
        <v/>
      </c>
    </row>
    <row r="301" spans="6:6" x14ac:dyDescent="0.3">
      <c r="F301" s="8" t="str">
        <f t="shared" si="11"/>
        <v/>
      </c>
    </row>
    <row r="302" spans="6:6" x14ac:dyDescent="0.3">
      <c r="F302" s="8" t="str">
        <f t="shared" si="11"/>
        <v/>
      </c>
    </row>
    <row r="303" spans="6:6" x14ac:dyDescent="0.3">
      <c r="F303" s="8" t="str">
        <f t="shared" si="11"/>
        <v/>
      </c>
    </row>
    <row r="304" spans="6:6" x14ac:dyDescent="0.3">
      <c r="F304" s="8" t="str">
        <f t="shared" si="11"/>
        <v/>
      </c>
    </row>
    <row r="305" spans="6:6" x14ac:dyDescent="0.3">
      <c r="F305" s="8" t="str">
        <f t="shared" si="11"/>
        <v/>
      </c>
    </row>
    <row r="306" spans="6:6" x14ac:dyDescent="0.3">
      <c r="F306" s="8" t="str">
        <f t="shared" si="11"/>
        <v/>
      </c>
    </row>
    <row r="307" spans="6:6" x14ac:dyDescent="0.3">
      <c r="F307" s="8" t="str">
        <f t="shared" si="11"/>
        <v/>
      </c>
    </row>
    <row r="308" spans="6:6" x14ac:dyDescent="0.3">
      <c r="F308" s="8" t="str">
        <f t="shared" si="11"/>
        <v/>
      </c>
    </row>
    <row r="309" spans="6:6" x14ac:dyDescent="0.3">
      <c r="F309" s="8" t="str">
        <f t="shared" si="11"/>
        <v/>
      </c>
    </row>
    <row r="310" spans="6:6" x14ac:dyDescent="0.3">
      <c r="F310" s="8" t="str">
        <f t="shared" si="11"/>
        <v/>
      </c>
    </row>
    <row r="311" spans="6:6" x14ac:dyDescent="0.3">
      <c r="F311" s="8" t="str">
        <f t="shared" si="11"/>
        <v/>
      </c>
    </row>
    <row r="312" spans="6:6" x14ac:dyDescent="0.3">
      <c r="F312" s="8" t="str">
        <f t="shared" si="11"/>
        <v/>
      </c>
    </row>
    <row r="313" spans="6:6" x14ac:dyDescent="0.3">
      <c r="F313" s="8" t="str">
        <f t="shared" si="11"/>
        <v/>
      </c>
    </row>
    <row r="314" spans="6:6" x14ac:dyDescent="0.3">
      <c r="F314" s="8" t="str">
        <f t="shared" si="11"/>
        <v/>
      </c>
    </row>
    <row r="315" spans="6:6" x14ac:dyDescent="0.3">
      <c r="F315" s="8" t="str">
        <f t="shared" si="11"/>
        <v/>
      </c>
    </row>
    <row r="316" spans="6:6" x14ac:dyDescent="0.3">
      <c r="F316" s="8" t="str">
        <f t="shared" si="11"/>
        <v/>
      </c>
    </row>
    <row r="317" spans="6:6" x14ac:dyDescent="0.3">
      <c r="F317" s="8" t="str">
        <f t="shared" si="11"/>
        <v/>
      </c>
    </row>
    <row r="318" spans="6:6" x14ac:dyDescent="0.3">
      <c r="F318" s="8" t="str">
        <f t="shared" si="11"/>
        <v/>
      </c>
    </row>
    <row r="319" spans="6:6" x14ac:dyDescent="0.3">
      <c r="F319" s="8" t="str">
        <f t="shared" si="11"/>
        <v/>
      </c>
    </row>
    <row r="320" spans="6:6" x14ac:dyDescent="0.3">
      <c r="F320" s="8" t="str">
        <f t="shared" si="11"/>
        <v/>
      </c>
    </row>
    <row r="321" spans="6:6" x14ac:dyDescent="0.3">
      <c r="F321" s="8" t="str">
        <f t="shared" si="11"/>
        <v/>
      </c>
    </row>
    <row r="322" spans="6:6" x14ac:dyDescent="0.3">
      <c r="F322" s="8" t="str">
        <f t="shared" si="11"/>
        <v/>
      </c>
    </row>
    <row r="323" spans="6:6" x14ac:dyDescent="0.3">
      <c r="F323" s="8" t="str">
        <f t="shared" si="11"/>
        <v/>
      </c>
    </row>
    <row r="324" spans="6:6" x14ac:dyDescent="0.3">
      <c r="F324" s="8" t="str">
        <f t="shared" si="11"/>
        <v/>
      </c>
    </row>
    <row r="325" spans="6:6" x14ac:dyDescent="0.3">
      <c r="F325" s="8" t="str">
        <f t="shared" si="11"/>
        <v/>
      </c>
    </row>
    <row r="326" spans="6:6" x14ac:dyDescent="0.3">
      <c r="F326" s="8" t="str">
        <f t="shared" si="11"/>
        <v/>
      </c>
    </row>
    <row r="327" spans="6:6" x14ac:dyDescent="0.3">
      <c r="F327" s="8" t="str">
        <f t="shared" si="11"/>
        <v/>
      </c>
    </row>
    <row r="328" spans="6:6" x14ac:dyDescent="0.3">
      <c r="F328" s="8" t="str">
        <f t="shared" si="11"/>
        <v/>
      </c>
    </row>
    <row r="329" spans="6:6" x14ac:dyDescent="0.3">
      <c r="F329" s="8" t="str">
        <f t="shared" si="11"/>
        <v/>
      </c>
    </row>
    <row r="330" spans="6:6" x14ac:dyDescent="0.3">
      <c r="F330" s="8" t="str">
        <f t="shared" si="11"/>
        <v/>
      </c>
    </row>
    <row r="331" spans="6:6" x14ac:dyDescent="0.3">
      <c r="F331" s="8" t="str">
        <f t="shared" si="11"/>
        <v/>
      </c>
    </row>
    <row r="332" spans="6:6" x14ac:dyDescent="0.3">
      <c r="F332" s="8" t="str">
        <f t="shared" si="11"/>
        <v/>
      </c>
    </row>
    <row r="333" spans="6:6" x14ac:dyDescent="0.3">
      <c r="F333" s="8" t="str">
        <f t="shared" si="11"/>
        <v/>
      </c>
    </row>
    <row r="334" spans="6:6" x14ac:dyDescent="0.3">
      <c r="F334" s="8" t="str">
        <f t="shared" ref="F334:F360" si="12">IF(D334&lt;&gt;"",VLOOKUP(D334,Buyers,3),"")</f>
        <v/>
      </c>
    </row>
    <row r="335" spans="6:6" x14ac:dyDescent="0.3">
      <c r="F335" s="8" t="str">
        <f t="shared" si="12"/>
        <v/>
      </c>
    </row>
    <row r="336" spans="6:6" x14ac:dyDescent="0.3">
      <c r="F336" s="8" t="str">
        <f t="shared" si="12"/>
        <v/>
      </c>
    </row>
    <row r="337" spans="6:6" x14ac:dyDescent="0.3">
      <c r="F337" s="8" t="str">
        <f t="shared" si="12"/>
        <v/>
      </c>
    </row>
    <row r="338" spans="6:6" x14ac:dyDescent="0.3">
      <c r="F338" s="8" t="str">
        <f t="shared" si="12"/>
        <v/>
      </c>
    </row>
    <row r="339" spans="6:6" x14ac:dyDescent="0.3">
      <c r="F339" s="8" t="str">
        <f t="shared" si="12"/>
        <v/>
      </c>
    </row>
    <row r="340" spans="6:6" x14ac:dyDescent="0.3">
      <c r="F340" s="8" t="str">
        <f t="shared" si="12"/>
        <v/>
      </c>
    </row>
    <row r="341" spans="6:6" x14ac:dyDescent="0.3">
      <c r="F341" s="8" t="str">
        <f t="shared" si="12"/>
        <v/>
      </c>
    </row>
    <row r="342" spans="6:6" x14ac:dyDescent="0.3">
      <c r="F342" s="8" t="str">
        <f t="shared" si="12"/>
        <v/>
      </c>
    </row>
    <row r="343" spans="6:6" x14ac:dyDescent="0.3">
      <c r="F343" s="8" t="str">
        <f t="shared" si="12"/>
        <v/>
      </c>
    </row>
    <row r="344" spans="6:6" x14ac:dyDescent="0.3">
      <c r="F344" s="8" t="str">
        <f t="shared" si="12"/>
        <v/>
      </c>
    </row>
    <row r="345" spans="6:6" x14ac:dyDescent="0.3">
      <c r="F345" s="8" t="str">
        <f t="shared" si="12"/>
        <v/>
      </c>
    </row>
    <row r="346" spans="6:6" x14ac:dyDescent="0.3">
      <c r="F346" s="8" t="str">
        <f t="shared" si="12"/>
        <v/>
      </c>
    </row>
    <row r="347" spans="6:6" x14ac:dyDescent="0.3">
      <c r="F347" s="8" t="str">
        <f t="shared" si="12"/>
        <v/>
      </c>
    </row>
    <row r="348" spans="6:6" x14ac:dyDescent="0.3">
      <c r="F348" s="8" t="str">
        <f t="shared" si="12"/>
        <v/>
      </c>
    </row>
    <row r="349" spans="6:6" x14ac:dyDescent="0.3">
      <c r="F349" s="8" t="str">
        <f t="shared" si="12"/>
        <v/>
      </c>
    </row>
    <row r="350" spans="6:6" x14ac:dyDescent="0.3">
      <c r="F350" s="8" t="str">
        <f t="shared" si="12"/>
        <v/>
      </c>
    </row>
    <row r="351" spans="6:6" x14ac:dyDescent="0.3">
      <c r="F351" s="8" t="str">
        <f t="shared" si="12"/>
        <v/>
      </c>
    </row>
    <row r="352" spans="6:6" x14ac:dyDescent="0.3">
      <c r="F352" s="8" t="str">
        <f t="shared" si="12"/>
        <v/>
      </c>
    </row>
    <row r="353" spans="6:6" x14ac:dyDescent="0.3">
      <c r="F353" s="8" t="str">
        <f t="shared" si="12"/>
        <v/>
      </c>
    </row>
    <row r="354" spans="6:6" x14ac:dyDescent="0.3">
      <c r="F354" s="8" t="str">
        <f t="shared" si="12"/>
        <v/>
      </c>
    </row>
    <row r="355" spans="6:6" x14ac:dyDescent="0.3">
      <c r="F355" s="8" t="str">
        <f t="shared" si="12"/>
        <v/>
      </c>
    </row>
    <row r="356" spans="6:6" x14ac:dyDescent="0.3">
      <c r="F356" s="8" t="str">
        <f t="shared" si="12"/>
        <v/>
      </c>
    </row>
    <row r="357" spans="6:6" x14ac:dyDescent="0.3">
      <c r="F357" s="8" t="str">
        <f t="shared" si="12"/>
        <v/>
      </c>
    </row>
    <row r="358" spans="6:6" x14ac:dyDescent="0.3">
      <c r="F358" s="8" t="str">
        <f t="shared" si="12"/>
        <v/>
      </c>
    </row>
    <row r="359" spans="6:6" x14ac:dyDescent="0.3">
      <c r="F359" s="8" t="str">
        <f t="shared" si="12"/>
        <v/>
      </c>
    </row>
    <row r="360" spans="6:6" x14ac:dyDescent="0.3">
      <c r="F360" s="8" t="str">
        <f t="shared" si="12"/>
        <v/>
      </c>
    </row>
  </sheetData>
  <dataValidations xWindow="1327" yWindow="345" count="2">
    <dataValidation type="list" allowBlank="1" showInputMessage="1" showErrorMessage="1" sqref="F2:F1048576" xr:uid="{00000000-0002-0000-0500-000000000000}">
      <formula1>Property</formula1>
    </dataValidation>
    <dataValidation type="whole" allowBlank="1" showInputMessage="1" showErrorMessage="1" errorTitle="Price" error="The Property Price must contain numbers  and the Price Range should be from £100,000 to £1,000,000" promptTitle="Price" prompt="Please Enter in the correct Property Price" sqref="H2:H1048576" xr:uid="{00000000-0002-0000-0500-000001000000}">
      <formula1>100000</formula1>
      <formula2>1000000</formula2>
    </dataValidation>
  </dataValidations>
  <pageMargins left="0.7" right="0.7" top="0.75" bottom="0.75" header="0.3" footer="0.3"/>
  <pageSetup orientation="landscape" r:id="rId1"/>
  <ignoredErrors>
    <ignoredError sqref="F2:F16" listDataValidatio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327" yWindow="345" count="3">
        <x14:dataValidation type="list" allowBlank="1" showInputMessage="1" showErrorMessage="1" xr:uid="{00000000-0002-0000-0500-000002000000}">
          <x14:formula1>
            <xm:f>Buyers!$A$2:$A$35</xm:f>
          </x14:formula1>
          <xm:sqref>D2:D1048576</xm:sqref>
        </x14:dataValidation>
        <x14:dataValidation type="list" allowBlank="1" showInputMessage="1" showErrorMessage="1" xr:uid="{00000000-0002-0000-0500-000003000000}">
          <x14:formula1>
            <xm:f>Staff!$A$2:$A$100</xm:f>
          </x14:formula1>
          <xm:sqref>A2:A1048576</xm:sqref>
        </x14:dataValidation>
        <x14:dataValidation type="list" allowBlank="1" showInputMessage="1" showErrorMessage="1" xr:uid="{00000000-0002-0000-0500-000004000000}">
          <x14:formula1>
            <xm:f>Staff!$A$2:$A$1000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B54"/>
  <sheetViews>
    <sheetView topLeftCell="A27" workbookViewId="0">
      <selection activeCell="F45" sqref="F45"/>
    </sheetView>
  </sheetViews>
  <sheetFormatPr defaultRowHeight="14.4" x14ac:dyDescent="0.3"/>
  <cols>
    <col min="1" max="1" width="22.21875" bestFit="1" customWidth="1"/>
    <col min="2" max="2" width="23.5546875" bestFit="1" customWidth="1"/>
  </cols>
  <sheetData>
    <row r="3" spans="1:2" x14ac:dyDescent="0.3">
      <c r="A3" s="24" t="s">
        <v>196</v>
      </c>
      <c r="B3" t="s">
        <v>210</v>
      </c>
    </row>
    <row r="4" spans="1:2" x14ac:dyDescent="0.3">
      <c r="A4" s="33" t="s">
        <v>149</v>
      </c>
      <c r="B4" s="25"/>
    </row>
    <row r="5" spans="1:2" x14ac:dyDescent="0.3">
      <c r="A5" s="34" t="s">
        <v>151</v>
      </c>
      <c r="B5" s="25"/>
    </row>
    <row r="6" spans="1:2" x14ac:dyDescent="0.3">
      <c r="A6" s="35" t="s">
        <v>150</v>
      </c>
      <c r="B6" s="25">
        <v>3</v>
      </c>
    </row>
    <row r="7" spans="1:2" x14ac:dyDescent="0.3">
      <c r="A7" s="34" t="s">
        <v>208</v>
      </c>
      <c r="B7" s="25">
        <v>3</v>
      </c>
    </row>
    <row r="8" spans="1:2" x14ac:dyDescent="0.3">
      <c r="A8" s="33" t="s">
        <v>198</v>
      </c>
      <c r="B8" s="25">
        <v>3</v>
      </c>
    </row>
    <row r="9" spans="1:2" x14ac:dyDescent="0.3">
      <c r="A9" s="33" t="s">
        <v>160</v>
      </c>
      <c r="B9" s="25"/>
    </row>
    <row r="10" spans="1:2" x14ac:dyDescent="0.3">
      <c r="A10" s="34" t="s">
        <v>154</v>
      </c>
      <c r="B10" s="25"/>
    </row>
    <row r="11" spans="1:2" x14ac:dyDescent="0.3">
      <c r="A11" s="35" t="s">
        <v>150</v>
      </c>
      <c r="B11" s="25">
        <v>2</v>
      </c>
    </row>
    <row r="12" spans="1:2" x14ac:dyDescent="0.3">
      <c r="A12" s="34" t="s">
        <v>209</v>
      </c>
      <c r="B12" s="25">
        <v>2</v>
      </c>
    </row>
    <row r="13" spans="1:2" x14ac:dyDescent="0.3">
      <c r="A13" s="33" t="s">
        <v>199</v>
      </c>
      <c r="B13" s="25">
        <v>2</v>
      </c>
    </row>
    <row r="14" spans="1:2" x14ac:dyDescent="0.3">
      <c r="A14" s="33" t="s">
        <v>156</v>
      </c>
      <c r="B14" s="25"/>
    </row>
    <row r="15" spans="1:2" x14ac:dyDescent="0.3">
      <c r="A15" s="34" t="s">
        <v>154</v>
      </c>
      <c r="B15" s="25"/>
    </row>
    <row r="16" spans="1:2" x14ac:dyDescent="0.3">
      <c r="A16" s="35" t="s">
        <v>150</v>
      </c>
      <c r="B16" s="25">
        <v>1</v>
      </c>
    </row>
    <row r="17" spans="1:2" x14ac:dyDescent="0.3">
      <c r="A17" s="34" t="s">
        <v>209</v>
      </c>
      <c r="B17" s="25">
        <v>1</v>
      </c>
    </row>
    <row r="18" spans="1:2" x14ac:dyDescent="0.3">
      <c r="A18" s="33" t="s">
        <v>200</v>
      </c>
      <c r="B18" s="25">
        <v>1</v>
      </c>
    </row>
    <row r="19" spans="1:2" x14ac:dyDescent="0.3">
      <c r="A19" s="33" t="s">
        <v>159</v>
      </c>
      <c r="B19" s="25"/>
    </row>
    <row r="20" spans="1:2" x14ac:dyDescent="0.3">
      <c r="A20" s="34" t="s">
        <v>154</v>
      </c>
      <c r="B20" s="25"/>
    </row>
    <row r="21" spans="1:2" x14ac:dyDescent="0.3">
      <c r="A21" s="35" t="s">
        <v>115</v>
      </c>
      <c r="B21" s="25">
        <v>1</v>
      </c>
    </row>
    <row r="22" spans="1:2" x14ac:dyDescent="0.3">
      <c r="A22" s="34" t="s">
        <v>209</v>
      </c>
      <c r="B22" s="25">
        <v>1</v>
      </c>
    </row>
    <row r="23" spans="1:2" x14ac:dyDescent="0.3">
      <c r="A23" s="33" t="s">
        <v>201</v>
      </c>
      <c r="B23" s="25">
        <v>1</v>
      </c>
    </row>
    <row r="24" spans="1:2" x14ac:dyDescent="0.3">
      <c r="A24" s="33" t="s">
        <v>152</v>
      </c>
      <c r="B24" s="25"/>
    </row>
    <row r="25" spans="1:2" x14ac:dyDescent="0.3">
      <c r="A25" s="34" t="s">
        <v>151</v>
      </c>
      <c r="B25" s="25"/>
    </row>
    <row r="26" spans="1:2" x14ac:dyDescent="0.3">
      <c r="A26" s="35" t="s">
        <v>150</v>
      </c>
      <c r="B26" s="25">
        <v>1</v>
      </c>
    </row>
    <row r="27" spans="1:2" x14ac:dyDescent="0.3">
      <c r="A27" s="34" t="s">
        <v>208</v>
      </c>
      <c r="B27" s="25">
        <v>1</v>
      </c>
    </row>
    <row r="28" spans="1:2" x14ac:dyDescent="0.3">
      <c r="A28" s="33" t="s">
        <v>202</v>
      </c>
      <c r="B28" s="25">
        <v>1</v>
      </c>
    </row>
    <row r="29" spans="1:2" x14ac:dyDescent="0.3">
      <c r="A29" s="33" t="s">
        <v>161</v>
      </c>
      <c r="B29" s="25"/>
    </row>
    <row r="30" spans="1:2" x14ac:dyDescent="0.3">
      <c r="A30" s="34" t="s">
        <v>151</v>
      </c>
      <c r="B30" s="25"/>
    </row>
    <row r="31" spans="1:2" x14ac:dyDescent="0.3">
      <c r="A31" s="35" t="s">
        <v>115</v>
      </c>
      <c r="B31" s="25">
        <v>2</v>
      </c>
    </row>
    <row r="32" spans="1:2" x14ac:dyDescent="0.3">
      <c r="A32" s="34" t="s">
        <v>208</v>
      </c>
      <c r="B32" s="25">
        <v>2</v>
      </c>
    </row>
    <row r="33" spans="1:2" x14ac:dyDescent="0.3">
      <c r="A33" s="33" t="s">
        <v>203</v>
      </c>
      <c r="B33" s="25">
        <v>2</v>
      </c>
    </row>
    <row r="34" spans="1:2" x14ac:dyDescent="0.3">
      <c r="A34" s="33" t="s">
        <v>153</v>
      </c>
      <c r="B34" s="25"/>
    </row>
    <row r="35" spans="1:2" x14ac:dyDescent="0.3">
      <c r="A35" s="34" t="s">
        <v>154</v>
      </c>
      <c r="B35" s="25"/>
    </row>
    <row r="36" spans="1:2" x14ac:dyDescent="0.3">
      <c r="A36" s="35" t="s">
        <v>150</v>
      </c>
      <c r="B36" s="25">
        <v>1</v>
      </c>
    </row>
    <row r="37" spans="1:2" x14ac:dyDescent="0.3">
      <c r="A37" s="34" t="s">
        <v>209</v>
      </c>
      <c r="B37" s="25">
        <v>1</v>
      </c>
    </row>
    <row r="38" spans="1:2" x14ac:dyDescent="0.3">
      <c r="A38" s="33" t="s">
        <v>204</v>
      </c>
      <c r="B38" s="25">
        <v>1</v>
      </c>
    </row>
    <row r="39" spans="1:2" x14ac:dyDescent="0.3">
      <c r="A39" s="33" t="s">
        <v>157</v>
      </c>
      <c r="B39" s="25"/>
    </row>
    <row r="40" spans="1:2" x14ac:dyDescent="0.3">
      <c r="A40" s="34" t="s">
        <v>151</v>
      </c>
      <c r="B40" s="25"/>
    </row>
    <row r="41" spans="1:2" x14ac:dyDescent="0.3">
      <c r="A41" s="35" t="s">
        <v>150</v>
      </c>
      <c r="B41" s="25">
        <v>1</v>
      </c>
    </row>
    <row r="42" spans="1:2" x14ac:dyDescent="0.3">
      <c r="A42" s="34" t="s">
        <v>208</v>
      </c>
      <c r="B42" s="25">
        <v>1</v>
      </c>
    </row>
    <row r="43" spans="1:2" x14ac:dyDescent="0.3">
      <c r="A43" s="33" t="s">
        <v>205</v>
      </c>
      <c r="B43" s="25">
        <v>1</v>
      </c>
    </row>
    <row r="44" spans="1:2" x14ac:dyDescent="0.3">
      <c r="A44" s="33" t="s">
        <v>158</v>
      </c>
      <c r="B44" s="25"/>
    </row>
    <row r="45" spans="1:2" x14ac:dyDescent="0.3">
      <c r="A45" s="34" t="s">
        <v>151</v>
      </c>
      <c r="B45" s="25"/>
    </row>
    <row r="46" spans="1:2" x14ac:dyDescent="0.3">
      <c r="A46" s="35" t="s">
        <v>115</v>
      </c>
      <c r="B46" s="25">
        <v>1</v>
      </c>
    </row>
    <row r="47" spans="1:2" x14ac:dyDescent="0.3">
      <c r="A47" s="34" t="s">
        <v>208</v>
      </c>
      <c r="B47" s="25">
        <v>1</v>
      </c>
    </row>
    <row r="48" spans="1:2" x14ac:dyDescent="0.3">
      <c r="A48" s="33" t="s">
        <v>206</v>
      </c>
      <c r="B48" s="25">
        <v>1</v>
      </c>
    </row>
    <row r="49" spans="1:2" x14ac:dyDescent="0.3">
      <c r="A49" s="33" t="s">
        <v>155</v>
      </c>
      <c r="B49" s="25"/>
    </row>
    <row r="50" spans="1:2" x14ac:dyDescent="0.3">
      <c r="A50" s="34" t="s">
        <v>154</v>
      </c>
      <c r="B50" s="25"/>
    </row>
    <row r="51" spans="1:2" x14ac:dyDescent="0.3">
      <c r="A51" s="35" t="s">
        <v>115</v>
      </c>
      <c r="B51" s="25">
        <v>2</v>
      </c>
    </row>
    <row r="52" spans="1:2" x14ac:dyDescent="0.3">
      <c r="A52" s="34" t="s">
        <v>209</v>
      </c>
      <c r="B52" s="25">
        <v>2</v>
      </c>
    </row>
    <row r="53" spans="1:2" x14ac:dyDescent="0.3">
      <c r="A53" s="33" t="s">
        <v>207</v>
      </c>
      <c r="B53" s="25">
        <v>2</v>
      </c>
    </row>
    <row r="54" spans="1:2" x14ac:dyDescent="0.3">
      <c r="A54" s="33" t="s">
        <v>197</v>
      </c>
      <c r="B54" s="25">
        <v>15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 Sheet</vt:lpstr>
      <vt:lpstr>Homes</vt:lpstr>
      <vt:lpstr>Staff</vt:lpstr>
      <vt:lpstr>Seller</vt:lpstr>
      <vt:lpstr>Buyers</vt:lpstr>
      <vt:lpstr>Sales</vt:lpstr>
      <vt:lpstr>Bar Chart</vt:lpstr>
      <vt:lpstr>Address</vt:lpstr>
      <vt:lpstr>Buyers</vt:lpstr>
      <vt:lpstr>BuyersInfo</vt:lpstr>
      <vt:lpstr>Homes</vt:lpstr>
      <vt:lpstr>List</vt:lpstr>
      <vt:lpstr>Property</vt:lpstr>
      <vt:lpstr>Seller</vt:lpstr>
      <vt:lpstr>SellerInfo</vt:lpstr>
      <vt:lpstr>Staff</vt:lpstr>
      <vt:lpstr>StaffInfo</vt:lpstr>
      <vt:lpstr>Tryout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Abidon Jude Fernandes</dc:creator>
  <cp:lastModifiedBy>Abidon Jude Fernandes</cp:lastModifiedBy>
  <cp:lastPrinted>2017-04-13T22:03:42Z</cp:lastPrinted>
  <dcterms:created xsi:type="dcterms:W3CDTF">2017-02-04T20:57:12Z</dcterms:created>
  <dcterms:modified xsi:type="dcterms:W3CDTF">2018-04-30T17:56:16Z</dcterms:modified>
</cp:coreProperties>
</file>